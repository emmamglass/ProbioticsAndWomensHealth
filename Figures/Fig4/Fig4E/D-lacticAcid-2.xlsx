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LacticAcidExploration/Assay/"/>
    </mc:Choice>
  </mc:AlternateContent>
  <xr:revisionPtr revIDLastSave="0" documentId="8_{B63C73CD-54A0-FF4A-9A59-195D62E00D97}" xr6:coauthVersionLast="47" xr6:coauthVersionMax="47" xr10:uidLastSave="{00000000-0000-0000-0000-000000000000}"/>
  <bookViews>
    <workbookView xWindow="-38400" yWindow="-200" windowWidth="19360" windowHeight="21100" xr2:uid="{C74216BF-34FE-4670-B30B-61B2D4FFD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M31" i="1"/>
  <c r="M32" i="1"/>
  <c r="M33" i="1"/>
  <c r="M29" i="1"/>
  <c r="I30" i="1"/>
  <c r="I31" i="1"/>
  <c r="I32" i="1"/>
  <c r="I33" i="1"/>
  <c r="I34" i="1"/>
  <c r="I35" i="1"/>
  <c r="I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1918EC16-954D-4F4B-AB93-AE7F53F0B9E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3FD5207-59CB-48EF-AD96-6233D07CED0B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<sst xmlns="http://schemas.openxmlformats.org/spreadsheetml/2006/main" count="54" uniqueCount="53">
  <si>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</si>
  <si>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</si>
  <si>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</si>
  <si>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</si>
  <si>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</si>
  <si>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</si>
  <si>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</si>
  <si>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</si>
  <si>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</si>
  <si>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3:02:01 PM</t>
  </si>
  <si>
    <t>System</t>
  </si>
  <si>
    <t>BME-CTB0JQ1</t>
  </si>
  <si>
    <t>User</t>
  </si>
  <si>
    <t>ESERVICES\tfz5vy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</si>
  <si>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</si>
  <si>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</si>
  <si>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</si>
  <si>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</si>
  <si>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</si>
  <si>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</si>
  <si>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</si>
  <si>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</si>
  <si>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</si>
  <si>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</si>
  <si>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</si>
  <si>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</si>
  <si>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</si>
  <si>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</si>
  <si>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</si>
  <si>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</si>
  <si>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</si>
  <si>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A1-H6</t>
  </si>
  <si>
    <t>Start Time:</t>
  </si>
  <si>
    <t>5/21/2025 3:02:06 PM</t>
  </si>
  <si>
    <t>Temperature: 25.7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</si>
  <si>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</si>
  <si>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</si>
  <si>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</si>
  <si>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</si>
  <si>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</si>
  <si>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</si>
  <si>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</si>
  <si>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</si>
  <si>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</si>
  <si>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Average values for standard curve</t>
  </si>
  <si>
    <t>first value ignored, colorimetric indicator did not make it into well</t>
  </si>
  <si>
    <t>Spent Media</t>
  </si>
  <si>
    <t>Concentration</t>
  </si>
  <si>
    <t>A. lactolyticus</t>
  </si>
  <si>
    <t>F. vaginae</t>
  </si>
  <si>
    <t>L. jensenii</t>
  </si>
  <si>
    <t>A. christensenii</t>
  </si>
  <si>
    <t>A. tetradius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</si>
</sst>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Sheet1!$I$29:$I$35</c:f>
              <c:numCache>
                <c:formatCode>General</c:formatCode>
                <c:ptCount val="7"/>
                <c:pt idx="0">
                  <c:v>0.10144999995827675</c:v>
                </c:pt>
                <c:pt idx="1">
                  <c:v>0.21965000033378601</c:v>
                </c:pt>
                <c:pt idx="2">
                  <c:v>0.34540000557899475</c:v>
                </c:pt>
                <c:pt idx="3">
                  <c:v>0.56009998917579651</c:v>
                </c:pt>
                <c:pt idx="4">
                  <c:v>0.6262499988079071</c:v>
                </c:pt>
                <c:pt idx="5">
                  <c:v>0.69664999842643738</c:v>
                </c:pt>
                <c:pt idx="6">
                  <c:v>0.78275001049041748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9-C745-B589-1F6019A9B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661855"/>
        <c:axId val="897663583"/>
      </c:scatterChart>
      <c:valAx>
        <c:axId val="89766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663583"/>
        <c:crosses val="autoZero"/>
        <c:crossBetween val="midCat"/>
      </c:valAx>
      <c:valAx>
        <c:axId val="8976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661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565150</xdr:colOff>
      <xdr:row>37</xdr:row>
      <xdr:rowOff>146050</xdr:rowOff>
    </xdr:from>
    <xdr:to>
      <xdr:col>7</xdr:col>
      <xdr:colOff>425450</xdr:colOff>
      <xdr:row>52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739A3-DBC4-3699-ACCF-010A19FB3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AADD-D17A-442F-8C40-C5B9DEE3D4B8}">
  <dimension ref="A1:M36"/>
  <sheetViews>
    <sheetView tabSelected="1" topLeftCell="A10" workbookViewId="0">
      <selection activeCell="M30" sqref="L30:M3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45798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3" x14ac:dyDescent="0.2">
      <c r="A18" t="s">
        <v>21</v>
      </c>
    </row>
    <row r="19" spans="1:13" x14ac:dyDescent="0.2">
      <c r="A19" t="s">
        <v>22</v>
      </c>
      <c r="E19" t="s">
        <v>23</v>
      </c>
    </row>
    <row r="20" spans="1:13" x14ac:dyDescent="0.2">
      <c r="A20" t="s">
        <v>24</v>
      </c>
      <c r="E20">
        <v>530</v>
      </c>
      <c r="F20" t="s">
        <v>25</v>
      </c>
    </row>
    <row r="21" spans="1:13" x14ac:dyDescent="0.2">
      <c r="A21" t="s">
        <v>26</v>
      </c>
      <c r="E21">
        <v>9</v>
      </c>
      <c r="F21" t="s">
        <v>25</v>
      </c>
    </row>
    <row r="22" spans="1:13" x14ac:dyDescent="0.2">
      <c r="A22" t="s">
        <v>27</v>
      </c>
      <c r="E22">
        <v>25</v>
      </c>
    </row>
    <row r="23" spans="1:13" x14ac:dyDescent="0.2">
      <c r="A23" t="s">
        <v>28</v>
      </c>
      <c r="E23">
        <v>0</v>
      </c>
      <c r="F23" t="s">
        <v>29</v>
      </c>
    </row>
    <row r="24" spans="1:13" x14ac:dyDescent="0.2">
      <c r="A24" t="s">
        <v>30</v>
      </c>
      <c r="E24" t="s">
        <v>31</v>
      </c>
    </row>
    <row r="25" spans="1:13" x14ac:dyDescent="0.2">
      <c r="A25" t="s">
        <v>32</v>
      </c>
      <c r="B25" s="2" t="s">
        <v>33</v>
      </c>
    </row>
    <row r="27" spans="1:13" x14ac:dyDescent="0.2">
      <c r="B27" t="s">
        <v>34</v>
      </c>
    </row>
    <row r="28" spans="1:13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I28" t="s">
        <v>44</v>
      </c>
      <c r="L28" t="s">
        <v>46</v>
      </c>
      <c r="M28" t="s">
        <v>47</v>
      </c>
    </row>
    <row r="29" spans="1:13" x14ac:dyDescent="0.2">
      <c r="A29" s="4" t="s">
        <v>36</v>
      </c>
      <c r="B29">
        <v>0.10180000215768814</v>
      </c>
      <c r="C29">
        <v>0.10109999775886536</v>
      </c>
      <c r="D29">
        <v>0.72710001468658447</v>
      </c>
      <c r="E29">
        <v>0.75279998779296875</v>
      </c>
      <c r="F29">
        <v>7.9999997979030013E-4</v>
      </c>
      <c r="G29">
        <v>8.9999998454004526E-4</v>
      </c>
      <c r="I29">
        <f>AVERAGE(B29:C29)</f>
        <v>0.10144999995827675</v>
      </c>
      <c r="L29" t="s">
        <v>48</v>
      </c>
      <c r="M29">
        <f>(AVERAGE(D29:E29)-0.0076)/0.1171*4</f>
        <v>25.016225490684086</v>
      </c>
    </row>
    <row r="30" spans="1:13" x14ac:dyDescent="0.2">
      <c r="A30" s="4" t="s">
        <v>37</v>
      </c>
      <c r="B30">
        <v>0.22480000555515289</v>
      </c>
      <c r="C30">
        <v>0.21449999511241913</v>
      </c>
      <c r="D30">
        <v>1.3041000366210938</v>
      </c>
      <c r="E30">
        <v>1.288599967956543</v>
      </c>
      <c r="F30">
        <v>6.99999975040555E-4</v>
      </c>
      <c r="G30">
        <v>7.9999997979030013E-4</v>
      </c>
      <c r="I30">
        <f t="shared" ref="I30:I35" si="0">AVERAGE(B30:C30)</f>
        <v>0.21965000033378601</v>
      </c>
      <c r="L30" s="6" t="s">
        <v>49</v>
      </c>
      <c r="M30" s="6">
        <f t="shared" ref="M30:M33" si="1">(AVERAGE(D30:E30)-0.0076)/0.1171*4</f>
        <v>44.022203323273047</v>
      </c>
    </row>
    <row r="31" spans="1:13" x14ac:dyDescent="0.2">
      <c r="A31" s="4" t="s">
        <v>38</v>
      </c>
      <c r="B31">
        <v>0.35820001363754272</v>
      </c>
      <c r="C31">
        <v>0.33259999752044678</v>
      </c>
      <c r="D31">
        <v>1.9259999990463257</v>
      </c>
      <c r="E31">
        <v>1.8859000205993652</v>
      </c>
      <c r="F31">
        <v>1.3000000035390258E-3</v>
      </c>
      <c r="G31">
        <v>1.7000000225380063E-3</v>
      </c>
      <c r="I31">
        <f t="shared" si="0"/>
        <v>0.34540000557899475</v>
      </c>
      <c r="L31" s="6" t="s">
        <v>50</v>
      </c>
      <c r="M31" s="6">
        <f t="shared" si="1"/>
        <v>64.845431590874313</v>
      </c>
    </row>
    <row r="32" spans="1:13" x14ac:dyDescent="0.2">
      <c r="A32" s="4" t="s">
        <v>39</v>
      </c>
      <c r="B32">
        <v>0.54269999265670776</v>
      </c>
      <c r="C32">
        <v>0.57749998569488525</v>
      </c>
      <c r="D32">
        <v>0.51239997148513794</v>
      </c>
      <c r="E32">
        <v>0.53579998016357422</v>
      </c>
      <c r="F32">
        <v>1.7000000225380063E-3</v>
      </c>
      <c r="G32">
        <v>1.5999999595806003E-3</v>
      </c>
      <c r="I32">
        <f t="shared" si="0"/>
        <v>0.56009998917579651</v>
      </c>
      <c r="L32" t="s">
        <v>51</v>
      </c>
      <c r="M32">
        <f t="shared" si="1"/>
        <v>17.643039310823436</v>
      </c>
    </row>
    <row r="33" spans="1:13" x14ac:dyDescent="0.2">
      <c r="A33" s="4" t="s">
        <v>40</v>
      </c>
      <c r="B33">
        <v>0.61690002679824829</v>
      </c>
      <c r="C33">
        <v>0.63559997081756592</v>
      </c>
      <c r="D33">
        <v>0.60680001974105835</v>
      </c>
      <c r="E33">
        <v>0.64920002222061157</v>
      </c>
      <c r="F33">
        <v>1.3000000035390258E-3</v>
      </c>
      <c r="G33">
        <v>1.7000000225380063E-3</v>
      </c>
      <c r="I33">
        <f t="shared" si="0"/>
        <v>0.6262499988079071</v>
      </c>
      <c r="L33" t="s">
        <v>52</v>
      </c>
      <c r="M33">
        <f t="shared" si="1"/>
        <v>21.192144183803073</v>
      </c>
    </row>
    <row r="34" spans="1:13" x14ac:dyDescent="0.2">
      <c r="A34" s="4" t="s">
        <v>41</v>
      </c>
      <c r="B34">
        <v>0.68900001049041748</v>
      </c>
      <c r="C34">
        <v>0.70429998636245728</v>
      </c>
      <c r="D34">
        <v>2.0000000949949026E-3</v>
      </c>
      <c r="E34">
        <v>1.39999995008111E-3</v>
      </c>
      <c r="F34">
        <v>1.5999999595806003E-3</v>
      </c>
      <c r="G34">
        <v>1.9000000320374966E-3</v>
      </c>
      <c r="I34">
        <f t="shared" si="0"/>
        <v>0.69664999842643738</v>
      </c>
    </row>
    <row r="35" spans="1:13" x14ac:dyDescent="0.2">
      <c r="A35" s="4" t="s">
        <v>42</v>
      </c>
      <c r="B35">
        <v>0.7840999960899353</v>
      </c>
      <c r="C35">
        <v>0.78140002489089966</v>
      </c>
      <c r="D35">
        <v>1.7000000225380063E-3</v>
      </c>
      <c r="E35">
        <v>1.5999999595806003E-3</v>
      </c>
      <c r="F35">
        <v>1.39999995008111E-3</v>
      </c>
      <c r="G35">
        <v>1.7999999690800905E-3</v>
      </c>
      <c r="I35">
        <f t="shared" si="0"/>
        <v>0.78275001049041748</v>
      </c>
    </row>
    <row r="36" spans="1:13" x14ac:dyDescent="0.2">
      <c r="A36" s="4" t="s">
        <v>43</v>
      </c>
      <c r="B36">
        <v>4.3600000441074371E-2</v>
      </c>
      <c r="C36">
        <v>0.87620002031326294</v>
      </c>
      <c r="D36">
        <v>1.9000000320374966E-3</v>
      </c>
      <c r="E36">
        <v>2.099999925121665E-3</v>
      </c>
      <c r="F36">
        <v>1.7999999690800905E-3</v>
      </c>
      <c r="G36">
        <v>1.9000000320374966E-3</v>
      </c>
      <c r="I36" s="5">
        <v>0.87620002031326294</v>
      </c>
      <c r="J36" t="s">
        <v>45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2025-05-21T19:03:19Z</dcterms:created>
  <dcterms:modified xsi:type="dcterms:W3CDTF">2025-05-23T15:07:47Z</dcterms:modified>
</cp:coreProperties>
</file>