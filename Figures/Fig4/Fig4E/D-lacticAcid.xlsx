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fz5vy/Desktop/PapinLab/Probiotics/VaginalBugExperiment/LacticAcidExploration/Assay/"/>
    </mc:Choice>
  </mc:AlternateContent>
  <xr:revisionPtr revIDLastSave="0" documentId="8_{093343ED-3843-9749-AEFF-58AC720980AE}" xr6:coauthVersionLast="47" xr6:coauthVersionMax="47" xr10:uidLastSave="{00000000-0000-0000-0000-000000000000}"/>
  <bookViews>
    <workbookView xWindow="-38400" yWindow="-200" windowWidth="19020" windowHeight="21100" xr2:uid="{0F2A624E-D570-40BD-BD97-CABC0C997E1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2" l="1"/>
  <c r="O39" i="2"/>
  <c r="O40" i="2"/>
  <c r="O37" i="2"/>
  <c r="O30" i="2"/>
  <c r="O31" i="2"/>
  <c r="O32" i="2"/>
  <c r="O33" i="2"/>
  <c r="O34" i="2"/>
  <c r="O35" i="2"/>
  <c r="O36" i="2"/>
  <c r="O29" i="2"/>
  <c r="J30" i="2"/>
  <c r="J31" i="2"/>
  <c r="J32" i="2"/>
  <c r="J33" i="2"/>
  <c r="J34" i="2"/>
  <c r="J35" i="2"/>
  <c r="J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DB13A66A-D108-4D66-8966-C5FA1B44515E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F43C987-66F3-4132-8EE3-E108268E2111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<sst xmlns="http://schemas.openxmlformats.org/spreadsheetml/2006/main" count="64" uniqueCount="63">
  <si>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</si>
  <si>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</si>
  <si>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</si>
  <si>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</si>
  <si>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</si>
  <si>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</si>
  <si>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</si>
  <si>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</si>
  <si>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</si>
  <si>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12:14:09 PM</t>
  </si>
  <si>
    <t>System</t>
  </si>
  <si>
    <t>BME-CTB0JQ1</t>
  </si>
  <si>
    <t>User</t>
  </si>
  <si>
    <t>ESERVICES\tfz5vy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</si>
  <si>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</si>
  <si>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</si>
  <si>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</si>
  <si>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</si>
  <si>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</si>
  <si>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</si>
  <si>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</si>
  <si>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</si>
  <si>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</si>
  <si>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</si>
  <si>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</si>
  <si>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</si>
  <si>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</si>
  <si>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</si>
  <si>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</si>
  <si>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</si>
  <si>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</si>
  <si>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A1-H6</t>
  </si>
  <si>
    <t>Start Time:</t>
  </si>
  <si>
    <t>5/21/2025 12:14:14 PM</t>
  </si>
  <si>
    <t>Temperature: 23.9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</si>
  <si>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</si>
  <si>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</si>
  <si>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</si>
  <si>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</si>
  <si>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</si>
  <si>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</si>
  <si>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</si>
  <si>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</si>
  <si>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</si>
  <si>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</si>
  <si>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5/21/2025 12:14:56 PM</t>
  </si>
  <si>
    <t>Average values for standard curve</t>
  </si>
  <si>
    <t>Value ignored</t>
  </si>
  <si>
    <t>Concentration</t>
  </si>
  <si>
    <t>Spent Media</t>
  </si>
  <si>
    <t>Modified PGY</t>
  </si>
  <si>
    <t>A. lactolyticus</t>
  </si>
  <si>
    <t>C. bergeronii</t>
  </si>
  <si>
    <t>P. vaginalis</t>
  </si>
  <si>
    <t>V. bacterium</t>
  </si>
  <si>
    <t>M. curtisii</t>
  </si>
  <si>
    <t>E. massiliensis</t>
  </si>
  <si>
    <t>F. vaginae</t>
  </si>
  <si>
    <t>L. jensenii</t>
  </si>
  <si>
    <t>A. christensenii</t>
  </si>
  <si>
    <t>A. marseille</t>
  </si>
  <si>
    <t>A. tetradius</t>
  </si>
  <si>
    <t>Beyond Standard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</si>
</sst>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3" borderId="0" xfId="0" applyFill="1"/>
  </cellXfs>
  <cellStyles count="8">
    <cellStyle name="Normal" xfId="0" builtinId="0"/>
    <cellStyle name="Tecan.At.Excel.Attenuation" xfId="6" xr:uid="{1282B936-12E5-42E4-84D0-DDF45B342A3F}"/>
    <cellStyle name="Tecan.At.Excel.AutoGain_0" xfId="7" xr:uid="{981B1DBA-1A4C-4D58-8EFE-68AAEC1289E2}"/>
    <cellStyle name="Tecan.At.Excel.Error" xfId="1" xr:uid="{9E0B944F-B8D6-4FBA-808D-CADF447CAE00}"/>
    <cellStyle name="Tecan.At.Excel.GFactorAndMeasurementBlank" xfId="5" xr:uid="{A6F472FB-70AF-494F-A9E9-A47F4EFE2263}"/>
    <cellStyle name="Tecan.At.Excel.GFactorBlank" xfId="3" xr:uid="{40F2F248-D65A-44C8-9331-DFD0B306EB3E}"/>
    <cellStyle name="Tecan.At.Excel.GFactorReference" xfId="4" xr:uid="{0CD145FA-0B7E-4C24-A65F-91B9B085A188}"/>
    <cellStyle name="Tecan.At.Excel.MeasurementBlank" xfId="2" xr:uid="{3017ABE1-0D93-4A22-8448-B9B3A27B0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1713867016622924"/>
                  <c:y val="2.273148148148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Sheet2!$J$29:$J$35</c:f>
              <c:numCache>
                <c:formatCode>General</c:formatCode>
                <c:ptCount val="7"/>
                <c:pt idx="0">
                  <c:v>0.11290000006556511</c:v>
                </c:pt>
                <c:pt idx="1">
                  <c:v>0.28170000016689301</c:v>
                </c:pt>
                <c:pt idx="2">
                  <c:v>0.45909999310970306</c:v>
                </c:pt>
                <c:pt idx="3">
                  <c:v>0.7531999945640564</c:v>
                </c:pt>
                <c:pt idx="4">
                  <c:v>0.87030002474784851</c:v>
                </c:pt>
                <c:pt idx="5">
                  <c:v>0.96844998002052307</c:v>
                </c:pt>
                <c:pt idx="6">
                  <c:v>1.0078999996185303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A-8640-A5DB-C5347553C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470415"/>
        <c:axId val="1612486863"/>
      </c:scatterChart>
      <c:valAx>
        <c:axId val="161247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486863"/>
        <c:crosses val="autoZero"/>
        <c:crossBetween val="midCat"/>
      </c:valAx>
      <c:valAx>
        <c:axId val="16124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47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660400</xdr:colOff>
      <xdr:row>37</xdr:row>
      <xdr:rowOff>171450</xdr:rowOff>
    </xdr:from>
    <xdr:to>
      <xdr:col>10</xdr:col>
      <xdr:colOff>520700</xdr:colOff>
      <xdr:row>52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EA6CB-95EA-5E66-4044-A95DEB611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1912-3F8B-470B-8343-019AC5893D5D}">
  <dimension ref="A1:O43"/>
  <sheetViews>
    <sheetView tabSelected="1" workbookViewId="0">
      <selection activeCell="N8" sqref="N8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45798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5" x14ac:dyDescent="0.2">
      <c r="A18" t="s">
        <v>21</v>
      </c>
    </row>
    <row r="19" spans="1:15" x14ac:dyDescent="0.2">
      <c r="A19" t="s">
        <v>22</v>
      </c>
      <c r="E19" t="s">
        <v>23</v>
      </c>
    </row>
    <row r="20" spans="1:15" x14ac:dyDescent="0.2">
      <c r="A20" t="s">
        <v>24</v>
      </c>
      <c r="E20">
        <v>530</v>
      </c>
      <c r="F20" t="s">
        <v>25</v>
      </c>
    </row>
    <row r="21" spans="1:15" x14ac:dyDescent="0.2">
      <c r="A21" t="s">
        <v>26</v>
      </c>
      <c r="E21">
        <v>9</v>
      </c>
      <c r="F21" t="s">
        <v>25</v>
      </c>
    </row>
    <row r="22" spans="1:15" x14ac:dyDescent="0.2">
      <c r="A22" t="s">
        <v>27</v>
      </c>
      <c r="E22">
        <v>25</v>
      </c>
    </row>
    <row r="23" spans="1:15" x14ac:dyDescent="0.2">
      <c r="A23" t="s">
        <v>28</v>
      </c>
      <c r="E23">
        <v>0</v>
      </c>
      <c r="F23" t="s">
        <v>29</v>
      </c>
    </row>
    <row r="24" spans="1:15" x14ac:dyDescent="0.2">
      <c r="A24" t="s">
        <v>30</v>
      </c>
      <c r="E24" t="s">
        <v>31</v>
      </c>
    </row>
    <row r="25" spans="1:15" x14ac:dyDescent="0.2">
      <c r="A25" t="s">
        <v>32</v>
      </c>
      <c r="B25" s="2" t="s">
        <v>33</v>
      </c>
    </row>
    <row r="27" spans="1:15" x14ac:dyDescent="0.2">
      <c r="B27" t="s">
        <v>34</v>
      </c>
    </row>
    <row r="28" spans="1:15" x14ac:dyDescent="0.2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J28" t="s">
        <v>46</v>
      </c>
      <c r="N28" t="s">
        <v>49</v>
      </c>
      <c r="O28" t="s">
        <v>48</v>
      </c>
    </row>
    <row r="29" spans="1:15" x14ac:dyDescent="0.2">
      <c r="A29" s="4" t="s">
        <v>36</v>
      </c>
      <c r="B29">
        <v>0.11590000241994858</v>
      </c>
      <c r="C29">
        <v>0.10989999771118164</v>
      </c>
      <c r="D29">
        <v>0.26750001311302185</v>
      </c>
      <c r="E29">
        <v>0.26339998841285706</v>
      </c>
      <c r="F29" s="5">
        <v>3.3947999477386475</v>
      </c>
      <c r="G29" s="5">
        <v>3.5292000770568848</v>
      </c>
      <c r="J29">
        <f>AVERAGE(B29:C29)</f>
        <v>0.11290000006556511</v>
      </c>
      <c r="N29" t="s">
        <v>50</v>
      </c>
      <c r="O29">
        <f>(AVERAGE(D29:E29)+0.0023)/0.1596</f>
        <v>1.6776315837276909</v>
      </c>
    </row>
    <row r="30" spans="1:15" x14ac:dyDescent="0.2">
      <c r="A30" s="4" t="s">
        <v>37</v>
      </c>
      <c r="B30">
        <v>0.29859998822212219</v>
      </c>
      <c r="C30">
        <v>0.26480001211166382</v>
      </c>
      <c r="D30" s="5">
        <v>1.9522000551223755</v>
      </c>
      <c r="E30" s="5">
        <v>1.9210000038146973</v>
      </c>
      <c r="F30" s="5">
        <v>1.6144000291824341</v>
      </c>
      <c r="G30" s="5">
        <v>1.4321999549865723</v>
      </c>
      <c r="J30">
        <f t="shared" ref="J30:J36" si="0">AVERAGE(B30:C30)</f>
        <v>0.28170000016689301</v>
      </c>
      <c r="N30" s="5" t="s">
        <v>51</v>
      </c>
      <c r="O30" s="5">
        <f t="shared" ref="O30:O37" si="1">(AVERAGE(D30:E30)+0.0023)/0.1596</f>
        <v>12.148496425241456</v>
      </c>
    </row>
    <row r="31" spans="1:15" x14ac:dyDescent="0.2">
      <c r="A31" s="4" t="s">
        <v>38</v>
      </c>
      <c r="B31">
        <v>0.48219999670982361</v>
      </c>
      <c r="C31">
        <v>0.43599998950958252</v>
      </c>
      <c r="D31">
        <v>0.29249998927116394</v>
      </c>
      <c r="E31">
        <v>0.27210000157356262</v>
      </c>
      <c r="F31">
        <v>0.25459998846054077</v>
      </c>
      <c r="G31">
        <v>0.21199999749660492</v>
      </c>
      <c r="J31">
        <f t="shared" si="0"/>
        <v>0.45909999310970306</v>
      </c>
      <c r="N31" t="s">
        <v>52</v>
      </c>
      <c r="O31">
        <f t="shared" si="1"/>
        <v>1.7832079913681913</v>
      </c>
    </row>
    <row r="32" spans="1:15" x14ac:dyDescent="0.2">
      <c r="A32" s="4" t="s">
        <v>39</v>
      </c>
      <c r="B32">
        <v>0.77770000696182251</v>
      </c>
      <c r="C32">
        <v>0.72869998216629028</v>
      </c>
      <c r="D32">
        <v>0.5163000226020813</v>
      </c>
      <c r="E32">
        <v>0.48649999499320984</v>
      </c>
      <c r="F32" s="5">
        <v>1.9043999910354614</v>
      </c>
      <c r="G32" s="5">
        <v>1.524399995803833</v>
      </c>
      <c r="J32">
        <f t="shared" si="0"/>
        <v>0.7531999945640564</v>
      </c>
      <c r="N32" t="s">
        <v>53</v>
      </c>
      <c r="O32">
        <f t="shared" si="1"/>
        <v>3.1560150927170776</v>
      </c>
    </row>
    <row r="33" spans="1:15" x14ac:dyDescent="0.2">
      <c r="A33" s="4" t="s">
        <v>40</v>
      </c>
      <c r="B33">
        <v>0.91900002956390381</v>
      </c>
      <c r="C33">
        <v>0.82160001993179321</v>
      </c>
      <c r="D33">
        <v>0.16329999268054962</v>
      </c>
      <c r="E33">
        <v>0.1679999977350235</v>
      </c>
      <c r="J33">
        <f t="shared" si="0"/>
        <v>0.87030002474784851</v>
      </c>
      <c r="N33" t="s">
        <v>54</v>
      </c>
      <c r="O33">
        <f t="shared" si="1"/>
        <v>1.0523182657129484</v>
      </c>
    </row>
    <row r="34" spans="1:15" x14ac:dyDescent="0.2">
      <c r="A34" s="4" t="s">
        <v>41</v>
      </c>
      <c r="B34">
        <v>1.0098999738693237</v>
      </c>
      <c r="C34">
        <v>0.92699998617172241</v>
      </c>
      <c r="D34">
        <v>0.23379999399185181</v>
      </c>
      <c r="E34">
        <v>0.23499999940395355</v>
      </c>
      <c r="J34">
        <f t="shared" si="0"/>
        <v>0.96844998002052307</v>
      </c>
      <c r="N34" t="s">
        <v>55</v>
      </c>
      <c r="O34">
        <f t="shared" si="1"/>
        <v>1.4830826860770845</v>
      </c>
    </row>
    <row r="35" spans="1:15" x14ac:dyDescent="0.2">
      <c r="A35" s="4" t="s">
        <v>42</v>
      </c>
      <c r="B35">
        <v>1.0467000007629395</v>
      </c>
      <c r="C35">
        <v>0.96909999847412109</v>
      </c>
      <c r="D35">
        <v>0.26019999384880066</v>
      </c>
      <c r="E35">
        <v>0.25870001316070557</v>
      </c>
      <c r="J35">
        <f t="shared" si="0"/>
        <v>1.0078999996185303</v>
      </c>
      <c r="N35" t="s">
        <v>56</v>
      </c>
      <c r="O35">
        <f t="shared" si="1"/>
        <v>1.6400376159445686</v>
      </c>
    </row>
    <row r="36" spans="1:15" x14ac:dyDescent="0.2">
      <c r="A36" s="4" t="s">
        <v>43</v>
      </c>
      <c r="B36">
        <v>0.90679997205734253</v>
      </c>
      <c r="C36">
        <v>0.83819997310638428</v>
      </c>
      <c r="D36" s="5">
        <v>2.2551000118255615</v>
      </c>
      <c r="E36" s="5">
        <v>2.2667000293731689</v>
      </c>
      <c r="J36" t="s">
        <v>47</v>
      </c>
      <c r="N36" s="5" t="s">
        <v>57</v>
      </c>
      <c r="O36" s="5">
        <f t="shared" si="1"/>
        <v>14.180451256888254</v>
      </c>
    </row>
    <row r="37" spans="1:15" x14ac:dyDescent="0.2">
      <c r="N37" s="5" t="s">
        <v>58</v>
      </c>
      <c r="O37" s="5">
        <f>(AVERAGE(F29:G29)+0.0023)/0.1596</f>
        <v>21.706140428557433</v>
      </c>
    </row>
    <row r="38" spans="1:15" x14ac:dyDescent="0.2">
      <c r="N38" s="5" t="s">
        <v>59</v>
      </c>
      <c r="O38" s="5">
        <f t="shared" ref="O38:O40" si="2">(AVERAGE(F30:G30)+0.0023)/0.1596</f>
        <v>9.5588971935119247</v>
      </c>
    </row>
    <row r="39" spans="1:15" x14ac:dyDescent="0.2">
      <c r="N39" t="s">
        <v>60</v>
      </c>
      <c r="O39">
        <f t="shared" si="2"/>
        <v>1.4761904321965718</v>
      </c>
    </row>
    <row r="40" spans="1:15" x14ac:dyDescent="0.2">
      <c r="N40" s="5" t="s">
        <v>61</v>
      </c>
      <c r="O40" s="5">
        <f t="shared" si="2"/>
        <v>10.756265622930121</v>
      </c>
    </row>
    <row r="41" spans="1:15" x14ac:dyDescent="0.2">
      <c r="A41" t="s">
        <v>44</v>
      </c>
      <c r="B41" s="2" t="s">
        <v>45</v>
      </c>
    </row>
    <row r="43" spans="1:15" x14ac:dyDescent="0.2">
      <c r="N43" s="5"/>
      <c r="O43" t="s">
        <v>62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9082-82F8-43E8-B12D-5D3A092F39E2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Microsoft Office User</cp:lastModifiedBy>
  <dcterms:created xsi:type="dcterms:W3CDTF">2025-05-21T16:14:07Z</dcterms:created>
  <dcterms:modified xsi:type="dcterms:W3CDTF">2025-05-23T15:07:24Z</dcterms:modified>
</cp:coreProperties>
</file>