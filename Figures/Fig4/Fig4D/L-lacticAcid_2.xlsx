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fz5vy/Desktop/PapinLab/Probiotics/VaginalBugExperiment/LacticAcidExploration/Assay/"/>
    </mc:Choice>
  </mc:AlternateContent>
  <xr:revisionPtr revIDLastSave="0" documentId="8_{CE68280D-5108-DD44-970A-1153EB1D8BD6}" xr6:coauthVersionLast="47" xr6:coauthVersionMax="47" xr10:uidLastSave="{00000000-0000-0000-0000-000000000000}"/>
  <bookViews>
    <workbookView xWindow="-19000" yWindow="-200" windowWidth="19000" windowHeight="21100" xr2:uid="{D5B02CF6-4BD1-4847-83E7-AF14F67B16CC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0" i="2" l="1"/>
  <c r="L31" i="2"/>
  <c r="L29" i="2"/>
  <c r="I30" i="2"/>
  <c r="I31" i="2"/>
  <c r="I32" i="2"/>
  <c r="I33" i="2"/>
  <c r="I34" i="2"/>
  <c r="I35" i="2"/>
  <c r="I36" i="2"/>
  <c r="I2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Glass, Emma Margaret (tfz5vy)</author>
  </authors>
  <commentList>
    <comment ref="E1" authorId="0" shapeId="0" xr:uid="{57A74E73-C97E-4D82-BDCA-6B1575FBA8D1}">
      <text>
        <r>
          <rPr>
            <b/>
            <sz val="9"/>
            <color indexed="81"/>
            <rFont val="Tahoma"/>
            <family val="2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FF39A960-540D-45DB-BF90-150DFAE9F8D9}">
      <text>
        <r>
          <rPr>
            <b/>
            <sz val="9"/>
            <color indexed="81"/>
            <rFont val="Tahoma"/>
            <family val="2"/>
          </rPr>
          <t xml:space="preserve">EHC, V_3.14_03/10_InfiniTe (Apr 26 2010/11.18.37)
MTP, V_3.14_03/10_InfiniTe (Apr 26 2010/11.18.37)
HCP, V_2.02_05/06_HCP (May 23 2006/14.05.27)
MEM, V_2.12_03/08_MCR (Apr  3 2008/16.03.31)
MEX, V_2.13_04/10_MCR (Apr 25 2010/17.39.16)
ZSCAN, V_3.14_03/10_InfiniTe (Apr 26 2010/11.18.37)
</t>
        </r>
      </text>
    </comment>
  </commentList>
</comments>
</file>

<file path=xl/sharedStrings.xml><?xml version="1.0" encoding="utf-8"?>
<sst xmlns="http://schemas.openxmlformats.org/spreadsheetml/2006/main" count="53" uniqueCount="52">
  <si>
    <t>Application: Tecan i-control</t>
  </si>
  <si>
    <t>Tecan i-control , 2.0.10.0</t>
  </si>
  <si>
    <t>Device: infinite 200Pro</t>
  </si>
  <si>
    <t>Serial number: 1010005120</t>
  </si>
  <si>
    <t>Serial number of connected stacker:</t>
  </si>
  <si>
    <t>Firmware: V_3.14_03/10_InfiniTe (Apr 26 2010/11.18.37)</t>
  </si>
  <si>
    <t>MAI, V_3.14_03/10_InfiniTe (Apr 26 2010/11.18.37)</t>
  </si>
  <si>
    <t>Date:</t>
  </si>
  <si>
    <t>Time:</t>
  </si>
  <si>
    <t>2:27:46 PM</t>
  </si>
  <si>
    <t>System</t>
  </si>
  <si>
    <t>BME-CTB0JQ1</t>
  </si>
  <si>
    <t>User</t>
  </si>
  <si>
    <t>ESERVICES\tfz5vy</t>
  </si>
  <si>
    <t>Plate</t>
  </si>
  <si>
    <t>Greiner 96 Flat Bottom Transparent Polystyrene Cat. No.: 655101/655161/655192 [GRE96ft.pdfx]</t>
  </si>
  <si>
    <t>Plate-ID (Stacker)</t>
  </si>
  <si>
    <t>Shaking (Linear) Duration:</t>
  </si>
  <si>
    <t>s</t>
  </si>
  <si>
    <t>Shaking (Linear) Amplitude:</t>
  </si>
  <si>
    <t>mm</t>
  </si>
  <si>
    <t>Label: Label1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</si>
  <si>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</si>
  <si>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</si>
  <si>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</si>
  <si>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</si>
  <si>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</si>
  <si>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</si>
  <si>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</si>
  <si>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</si>
  <si>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Part of Plate</t>
  </si>
  <si>
    <t>A1-H6</t>
  </si>
  <si>
    <t>Start Time:</t>
  </si>
  <si>
    <t>5/21/2025 2:27:51 PM</t>
  </si>
  <si>
    <t>Temperature: 25.9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</si>
  <si>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</si>
  <si>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</si>
  <si>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</si>
  <si>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</si>
  <si>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</si>
  <si>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</si>
  <si>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</si>
  <si>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</si>
  <si>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</si>
  <si>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</si>
  <si>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5/21/2025 2:28:33 PM</t>
  </si>
  <si>
    <t>Average values for standard curve</t>
  </si>
  <si>
    <t>Spent Media</t>
  </si>
  <si>
    <t>Concentration</t>
  </si>
  <si>
    <t>A. lactolyticus</t>
  </si>
  <si>
    <t>A. christensenii</t>
  </si>
  <si>
    <t>A. tetradius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</si>
</sst>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5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0" fontId="1" fillId="9" borderId="0" xfId="0" applyFont="1" applyFill="1"/>
  </cellXfs>
  <cellStyles count="8">
    <cellStyle name="Normal" xfId="0" builtinId="0"/>
    <cellStyle name="Tecan.At.Excel.Attenuation" xfId="6" xr:uid="{3067434A-62B0-4FA1-AAE2-A62A62729BC2}"/>
    <cellStyle name="Tecan.At.Excel.AutoGain_0" xfId="7" xr:uid="{C91CC2CF-0BE4-473B-AC9E-251C461C7393}"/>
    <cellStyle name="Tecan.At.Excel.Error" xfId="1" xr:uid="{F071A7C0-0806-42D0-8BAF-27C1F81BF351}"/>
    <cellStyle name="Tecan.At.Excel.GFactorAndMeasurementBlank" xfId="5" xr:uid="{E9BC84C8-AD7D-4C96-ABA3-548E22486AB4}"/>
    <cellStyle name="Tecan.At.Excel.GFactorBlank" xfId="3" xr:uid="{BDB34C5E-661A-4FA0-A737-D0306AD13086}"/>
    <cellStyle name="Tecan.At.Excel.GFactorReference" xfId="4" xr:uid="{77531F8A-694E-40F9-8988-A9C3EC0F3EA8}"/>
    <cellStyle name="Tecan.At.Excel.MeasurementBlank" xfId="2" xr:uid="{FDC8028B-4316-4680-83C2-245B0521B6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yVal>
            <c:numRef>
              <c:f>Sheet2!$I$29:$I$36</c:f>
              <c:numCache>
                <c:formatCode>General</c:formatCode>
                <c:ptCount val="8"/>
                <c:pt idx="0">
                  <c:v>9.4849999994039536E-2</c:v>
                </c:pt>
                <c:pt idx="1">
                  <c:v>0.23269999772310257</c:v>
                </c:pt>
                <c:pt idx="2">
                  <c:v>0.34259998798370361</c:v>
                </c:pt>
                <c:pt idx="3">
                  <c:v>0.4554000049829483</c:v>
                </c:pt>
                <c:pt idx="4">
                  <c:v>0.54335001111030579</c:v>
                </c:pt>
                <c:pt idx="5">
                  <c:v>0.63749998807907104</c:v>
                </c:pt>
                <c:pt idx="6">
                  <c:v>0.71709999442100525</c:v>
                </c:pt>
                <c:pt idx="7">
                  <c:v>0.79340001940727234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637-234F-BA77-EACE96A0B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36572015"/>
        <c:axId val="1336138911"/>
      </c:scatterChart>
      <c:valAx>
        <c:axId val="13365720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138911"/>
        <c:crosses val="autoZero"/>
        <c:crossBetween val="midCat"/>
      </c:valAx>
      <c:valAx>
        <c:axId val="13361389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65720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82550</xdr:colOff>
      <xdr:row>41</xdr:row>
      <xdr:rowOff>120650</xdr:rowOff>
    </xdr:from>
    <xdr:to>
      <xdr:col>6</xdr:col>
      <xdr:colOff>615950</xdr:colOff>
      <xdr:row>56</xdr:row>
      <xdr:rowOff>6350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7A35C3-E6E4-F9D0-6C4A-9AB5A218F0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DD5290-4D49-48E7-8715-6D27166EDF17}">
  <dimension ref="A1:L41"/>
  <sheetViews>
    <sheetView tabSelected="1" topLeftCell="A10" workbookViewId="0">
      <selection activeCell="L29" sqref="L29:L31"/>
    </sheetView>
  </sheetViews>
  <sheetFormatPr baseColWidth="10" defaultColWidth="8.83203125" defaultRowHeight="15" x14ac:dyDescent="0.2"/>
  <sheetData>
    <row r="1" spans="1:12" x14ac:dyDescent="0.2">
      <c r="A1" t="s">
        <v>0</v>
      </c>
      <c r="E1" t="s">
        <v>1</v>
      </c>
    </row>
    <row r="2" spans="1:12" x14ac:dyDescent="0.2">
      <c r="A2" t="s">
        <v>2</v>
      </c>
      <c r="E2" t="s">
        <v>3</v>
      </c>
      <c r="I2" t="s">
        <v>4</v>
      </c>
    </row>
    <row r="3" spans="1:12" x14ac:dyDescent="0.2">
      <c r="A3" t="s">
        <v>5</v>
      </c>
      <c r="E3" t="s">
        <v>6</v>
      </c>
    </row>
    <row r="5" spans="1:12" x14ac:dyDescent="0.2">
      <c r="A5" t="s">
        <v>7</v>
      </c>
      <c r="B5" s="1">
        <v>45798</v>
      </c>
    </row>
    <row r="6" spans="1:12" x14ac:dyDescent="0.2">
      <c r="A6" t="s">
        <v>8</v>
      </c>
      <c r="B6" s="2" t="s">
        <v>9</v>
      </c>
    </row>
    <row r="9" spans="1:12" x14ac:dyDescent="0.2">
      <c r="A9" t="s">
        <v>10</v>
      </c>
      <c r="E9" t="s">
        <v>11</v>
      </c>
    </row>
    <row r="10" spans="1:12" x14ac:dyDescent="0.2">
      <c r="A10" t="s">
        <v>12</v>
      </c>
      <c r="E10" t="s">
        <v>13</v>
      </c>
    </row>
    <row r="11" spans="1:12" x14ac:dyDescent="0.2">
      <c r="A11" t="s">
        <v>14</v>
      </c>
      <c r="E11" t="s">
        <v>15</v>
      </c>
    </row>
    <row r="12" spans="1:12" x14ac:dyDescent="0.2">
      <c r="A12" t="s">
        <v>16</v>
      </c>
    </row>
    <row r="14" spans="1:12" x14ac:dyDescent="0.2">
      <c r="A14" s="3" t="s">
        <v>17</v>
      </c>
      <c r="B14" s="3"/>
      <c r="C14" s="3"/>
      <c r="D14" s="3"/>
      <c r="E14" s="3">
        <v>5</v>
      </c>
      <c r="F14" s="3" t="s">
        <v>18</v>
      </c>
      <c r="G14" s="3"/>
      <c r="H14" s="3"/>
      <c r="I14" s="3"/>
      <c r="J14" s="3"/>
      <c r="K14" s="3"/>
      <c r="L14" s="3"/>
    </row>
    <row r="15" spans="1:12" x14ac:dyDescent="0.2">
      <c r="A15" s="3" t="s">
        <v>19</v>
      </c>
      <c r="B15" s="3"/>
      <c r="C15" s="3"/>
      <c r="D15" s="3"/>
      <c r="E15" s="3">
        <v>1</v>
      </c>
      <c r="F15" s="3" t="s">
        <v>20</v>
      </c>
      <c r="G15" s="3"/>
      <c r="H15" s="3"/>
      <c r="I15" s="3"/>
      <c r="J15" s="3"/>
      <c r="K15" s="3"/>
      <c r="L15" s="3"/>
    </row>
    <row r="18" spans="1:12" x14ac:dyDescent="0.2">
      <c r="A18" t="s">
        <v>21</v>
      </c>
    </row>
    <row r="19" spans="1:12" x14ac:dyDescent="0.2">
      <c r="A19" t="s">
        <v>22</v>
      </c>
      <c r="E19" t="s">
        <v>23</v>
      </c>
    </row>
    <row r="20" spans="1:12" x14ac:dyDescent="0.2">
      <c r="A20" t="s">
        <v>24</v>
      </c>
      <c r="E20">
        <v>530</v>
      </c>
      <c r="F20" t="s">
        <v>25</v>
      </c>
    </row>
    <row r="21" spans="1:12" x14ac:dyDescent="0.2">
      <c r="A21" t="s">
        <v>26</v>
      </c>
      <c r="E21">
        <v>9</v>
      </c>
      <c r="F21" t="s">
        <v>25</v>
      </c>
    </row>
    <row r="22" spans="1:12" x14ac:dyDescent="0.2">
      <c r="A22" t="s">
        <v>27</v>
      </c>
      <c r="E22">
        <v>25</v>
      </c>
    </row>
    <row r="23" spans="1:12" x14ac:dyDescent="0.2">
      <c r="A23" t="s">
        <v>28</v>
      </c>
      <c r="E23">
        <v>0</v>
      </c>
      <c r="F23" t="s">
        <v>29</v>
      </c>
    </row>
    <row r="24" spans="1:12" x14ac:dyDescent="0.2">
      <c r="A24" t="s">
        <v>30</v>
      </c>
      <c r="E24" t="s">
        <v>31</v>
      </c>
    </row>
    <row r="25" spans="1:12" x14ac:dyDescent="0.2">
      <c r="A25" t="s">
        <v>32</v>
      </c>
      <c r="B25" s="2" t="s">
        <v>33</v>
      </c>
    </row>
    <row r="27" spans="1:12" x14ac:dyDescent="0.2">
      <c r="B27" t="s">
        <v>34</v>
      </c>
    </row>
    <row r="28" spans="1:12" x14ac:dyDescent="0.2">
      <c r="A28" s="4" t="s">
        <v>35</v>
      </c>
      <c r="B28" s="4">
        <v>1</v>
      </c>
      <c r="C28" s="4">
        <v>2</v>
      </c>
      <c r="D28" s="4">
        <v>3</v>
      </c>
      <c r="E28" s="4">
        <v>4</v>
      </c>
      <c r="F28" s="4">
        <v>5</v>
      </c>
      <c r="G28" s="4">
        <v>6</v>
      </c>
      <c r="I28" t="s">
        <v>46</v>
      </c>
      <c r="K28" t="s">
        <v>47</v>
      </c>
      <c r="L28" t="s">
        <v>48</v>
      </c>
    </row>
    <row r="29" spans="1:12" x14ac:dyDescent="0.2">
      <c r="A29" s="4" t="s">
        <v>36</v>
      </c>
      <c r="B29">
        <v>9.3299999833106995E-2</v>
      </c>
      <c r="C29">
        <v>9.6400000154972076E-2</v>
      </c>
      <c r="D29">
        <v>0.55330002307891846</v>
      </c>
      <c r="E29">
        <v>0.58230000734329224</v>
      </c>
      <c r="F29">
        <v>3.9999998989515007E-4</v>
      </c>
      <c r="G29">
        <v>6.0000002849847078E-4</v>
      </c>
      <c r="I29">
        <f>AVERAGE(B29:C29)</f>
        <v>9.4849999994039536E-2</v>
      </c>
      <c r="K29" t="s">
        <v>49</v>
      </c>
      <c r="L29">
        <f>(AVERAGE(D29:E29)-0.0333)/0.0986*3</f>
        <v>16.262677947599556</v>
      </c>
    </row>
    <row r="30" spans="1:12" x14ac:dyDescent="0.2">
      <c r="A30" s="4" t="s">
        <v>37</v>
      </c>
      <c r="B30">
        <v>0.23409999907016754</v>
      </c>
      <c r="C30">
        <v>0.2312999963760376</v>
      </c>
      <c r="D30">
        <v>0.41499999165534973</v>
      </c>
      <c r="E30">
        <v>0.42660000920295715</v>
      </c>
      <c r="F30">
        <v>6.0000002849847078E-4</v>
      </c>
      <c r="G30">
        <v>5.0000002374872565E-4</v>
      </c>
      <c r="I30">
        <f t="shared" ref="I30:I36" si="0">AVERAGE(B30:C30)</f>
        <v>0.23269999772310257</v>
      </c>
      <c r="K30" t="s">
        <v>50</v>
      </c>
      <c r="L30">
        <f t="shared" ref="L30:L31" si="1">(AVERAGE(D30:E30)-0.0333)/0.0986*3</f>
        <v>11.790060864984385</v>
      </c>
    </row>
    <row r="31" spans="1:12" x14ac:dyDescent="0.2">
      <c r="A31" s="4" t="s">
        <v>38</v>
      </c>
      <c r="B31">
        <v>0.35409998893737793</v>
      </c>
      <c r="C31">
        <v>0.3310999870300293</v>
      </c>
      <c r="D31">
        <v>0.52300000190734863</v>
      </c>
      <c r="E31">
        <v>0.53869998455047607</v>
      </c>
      <c r="F31">
        <v>1.0000000474974513E-3</v>
      </c>
      <c r="G31">
        <v>1.2000000569969416E-3</v>
      </c>
      <c r="I31">
        <f t="shared" si="0"/>
        <v>0.34259998798370361</v>
      </c>
      <c r="K31" t="s">
        <v>51</v>
      </c>
      <c r="L31">
        <f t="shared" si="1"/>
        <v>15.138437927857375</v>
      </c>
    </row>
    <row r="32" spans="1:12" x14ac:dyDescent="0.2">
      <c r="A32" s="4" t="s">
        <v>39</v>
      </c>
      <c r="B32">
        <v>0.46189999580383301</v>
      </c>
      <c r="C32">
        <v>0.4489000141620636</v>
      </c>
      <c r="D32">
        <v>1.0999999940395355E-3</v>
      </c>
      <c r="E32">
        <v>1.0000000474974513E-3</v>
      </c>
      <c r="F32">
        <v>1.0999999940395355E-3</v>
      </c>
      <c r="G32">
        <v>1.39999995008111E-3</v>
      </c>
      <c r="I32">
        <f t="shared" si="0"/>
        <v>0.4554000049829483</v>
      </c>
    </row>
    <row r="33" spans="1:9" x14ac:dyDescent="0.2">
      <c r="A33" s="4" t="s">
        <v>40</v>
      </c>
      <c r="B33">
        <v>0.55190002918243408</v>
      </c>
      <c r="C33">
        <v>0.53479999303817749</v>
      </c>
      <c r="D33">
        <v>1.3000000035390258E-3</v>
      </c>
      <c r="E33">
        <v>1.39999995008111E-3</v>
      </c>
      <c r="F33">
        <v>1.0000000474974513E-3</v>
      </c>
      <c r="G33">
        <v>1.3000000035390258E-3</v>
      </c>
      <c r="I33">
        <f t="shared" si="0"/>
        <v>0.54335001111030579</v>
      </c>
    </row>
    <row r="34" spans="1:9" x14ac:dyDescent="0.2">
      <c r="A34" s="4" t="s">
        <v>41</v>
      </c>
      <c r="B34">
        <v>0.64319998025894165</v>
      </c>
      <c r="C34">
        <v>0.63179999589920044</v>
      </c>
      <c r="D34">
        <v>1.39999995008111E-3</v>
      </c>
      <c r="E34">
        <v>1.39999995008111E-3</v>
      </c>
      <c r="F34">
        <v>1.0999999940395355E-3</v>
      </c>
      <c r="G34">
        <v>1.2000000569969416E-3</v>
      </c>
      <c r="I34">
        <f t="shared" si="0"/>
        <v>0.63749998807907104</v>
      </c>
    </row>
    <row r="35" spans="1:9" x14ac:dyDescent="0.2">
      <c r="A35" s="4" t="s">
        <v>42</v>
      </c>
      <c r="B35">
        <v>0.71759998798370361</v>
      </c>
      <c r="C35">
        <v>0.71660000085830688</v>
      </c>
      <c r="D35">
        <v>1.500000013038516E-3</v>
      </c>
      <c r="E35">
        <v>1.39999995008111E-3</v>
      </c>
      <c r="F35">
        <v>1.3000000035390258E-3</v>
      </c>
      <c r="G35">
        <v>1.39999995008111E-3</v>
      </c>
      <c r="I35">
        <f t="shared" si="0"/>
        <v>0.71709999442100525</v>
      </c>
    </row>
    <row r="36" spans="1:9" x14ac:dyDescent="0.2">
      <c r="A36" s="4" t="s">
        <v>43</v>
      </c>
      <c r="B36">
        <v>0.79570001363754272</v>
      </c>
      <c r="C36">
        <v>0.79110002517700195</v>
      </c>
      <c r="D36">
        <v>1.5999999595806003E-3</v>
      </c>
      <c r="E36">
        <v>1.39999995008111E-3</v>
      </c>
      <c r="F36">
        <v>1.500000013038516E-3</v>
      </c>
      <c r="G36">
        <v>1.500000013038516E-3</v>
      </c>
      <c r="I36">
        <f t="shared" si="0"/>
        <v>0.79340001940727234</v>
      </c>
    </row>
    <row r="41" spans="1:9" x14ac:dyDescent="0.2">
      <c r="A41" t="s">
        <v>44</v>
      </c>
      <c r="B41" s="2" t="s">
        <v>45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1470-8D9C-4133-9A39-16A7DB8D801C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Glass, Emma Margaret (tfz5vy)</dc:creator>
  <cp:lastModifiedBy>Microsoft Office User</cp:lastModifiedBy>
  <dcterms:created xsi:type="dcterms:W3CDTF">2025-05-21T18:27:42Z</dcterms:created>
  <dcterms:modified xsi:type="dcterms:W3CDTF">2025-05-23T15:08:08Z</dcterms:modified>
</cp:coreProperties>
</file>