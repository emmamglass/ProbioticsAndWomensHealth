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LacticAcidExploration/Assay/"/>
    </mc:Choice>
  </mc:AlternateContent>
  <xr:revisionPtr revIDLastSave="0" documentId="8_{703FAA37-5251-D241-848A-FC7CF3F7196F}" xr6:coauthVersionLast="47" xr6:coauthVersionMax="47" xr10:uidLastSave="{00000000-0000-0000-0000-000000000000}"/>
  <bookViews>
    <workbookView xWindow="-38360" yWindow="-120" windowWidth="19020" windowHeight="21100" xr2:uid="{161CC331-B02C-4773-80B4-F9B15B7588C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1" i="2" l="1"/>
  <c r="M30" i="2"/>
  <c r="M29" i="2"/>
  <c r="I30" i="2"/>
  <c r="I31" i="2"/>
  <c r="I32" i="2"/>
  <c r="I33" i="2"/>
  <c r="I34" i="2"/>
  <c r="I35" i="2"/>
  <c r="I36" i="2"/>
  <c r="I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89D9F565-17A1-4933-8B47-9DF3CD4232D5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C92DCDF-0595-40DE-95C2-849FB9AB4F88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<sst xmlns="http://schemas.openxmlformats.org/spreadsheetml/2006/main" count="53" uniqueCount="52">
  <si>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</si>
  <si>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</si>
  <si>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</si>
  <si>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</si>
  <si>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</si>
  <si>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</si>
  <si>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</si>
  <si>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</si>
  <si>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</si>
  <si>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3:34:47 PM</t>
  </si>
  <si>
    <t>System</t>
  </si>
  <si>
    <t>BME-CTB0JQ1</t>
  </si>
  <si>
    <t>User</t>
  </si>
  <si>
    <t>ESERVICES\tfz5vy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</si>
  <si>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</si>
  <si>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</si>
  <si>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</si>
  <si>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</si>
  <si>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</si>
  <si>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</si>
  <si>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</si>
  <si>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</si>
  <si>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</si>
  <si>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</si>
  <si>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</si>
  <si>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</si>
  <si>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</si>
  <si>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</si>
  <si>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</si>
  <si>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</si>
  <si>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</si>
  <si>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A1-H6</t>
  </si>
  <si>
    <t>Start Time:</t>
  </si>
  <si>
    <t>5/21/2025 3:34:52 PM</t>
  </si>
  <si>
    <t>Temperature: 25.2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</si>
  <si>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</si>
  <si>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</si>
  <si>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</si>
  <si>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</si>
  <si>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</si>
  <si>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</si>
  <si>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</si>
  <si>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</si>
  <si>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</si>
  <si>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</si>
  <si>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5/21/2025 3:35:34 PM</t>
  </si>
  <si>
    <t>Average values for standard curve</t>
  </si>
  <si>
    <t>Spent media</t>
  </si>
  <si>
    <t>Concentration</t>
  </si>
  <si>
    <t>F. vaginae</t>
  </si>
  <si>
    <t>L. jensenii</t>
  </si>
  <si>
    <t xml:space="preserve">max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</si>
</sst>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F7FF342A-2883-42DB-9787-69D85FB0F814}"/>
    <cellStyle name="Tecan.At.Excel.AutoGain_0" xfId="7" xr:uid="{E38930A0-7D71-443E-9E42-F15057F0B474}"/>
    <cellStyle name="Tecan.At.Excel.Error" xfId="1" xr:uid="{5687827F-4BA4-4EFB-B758-EECE1A4A2371}"/>
    <cellStyle name="Tecan.At.Excel.GFactorAndMeasurementBlank" xfId="5" xr:uid="{3D120582-7BA5-4682-BD70-384B5EBDCC75}"/>
    <cellStyle name="Tecan.At.Excel.GFactorBlank" xfId="3" xr:uid="{57ADED13-A604-4C66-9153-F4B2984D4BB1}"/>
    <cellStyle name="Tecan.At.Excel.GFactorReference" xfId="4" xr:uid="{2915AD7E-81A3-4B5D-A930-471728B24962}"/>
    <cellStyle name="Tecan.At.Excel.MeasurementBlank" xfId="2" xr:uid="{58A3786E-259C-40A2-8B98-D3728C172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Sheet2!$I$29:$I$36</c:f>
              <c:numCache>
                <c:formatCode>General</c:formatCode>
                <c:ptCount val="8"/>
                <c:pt idx="0">
                  <c:v>0.11015000194311142</c:v>
                </c:pt>
                <c:pt idx="1">
                  <c:v>0.22914999723434448</c:v>
                </c:pt>
                <c:pt idx="2">
                  <c:v>0.33050000667572021</c:v>
                </c:pt>
                <c:pt idx="3">
                  <c:v>0.53970000147819519</c:v>
                </c:pt>
                <c:pt idx="4">
                  <c:v>0.62075001001358032</c:v>
                </c:pt>
                <c:pt idx="5">
                  <c:v>0.70630002021789551</c:v>
                </c:pt>
                <c:pt idx="6">
                  <c:v>0.79424998164176941</c:v>
                </c:pt>
                <c:pt idx="7">
                  <c:v>0.92950001358985901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6346-A35A-DA4869F69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137215"/>
        <c:axId val="884138943"/>
      </c:scatterChart>
      <c:valAx>
        <c:axId val="88413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138943"/>
        <c:crosses val="autoZero"/>
        <c:crossBetween val="midCat"/>
      </c:valAx>
      <c:valAx>
        <c:axId val="88413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13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37</xdr:row>
      <xdr:rowOff>82550</xdr:rowOff>
    </xdr:from>
    <xdr:to>
      <xdr:col>7</xdr:col>
      <xdr:colOff>152400</xdr:colOff>
      <xdr:row>51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FF14F6-458B-B535-45F0-D34A19DC4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1FA9-0304-4CAE-B9A0-F67A148108D0}">
  <dimension ref="A1:M41"/>
  <sheetViews>
    <sheetView tabSelected="1" workbookViewId="0">
      <selection activeCell="J6" sqref="J6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45798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3" x14ac:dyDescent="0.2">
      <c r="A18" t="s">
        <v>21</v>
      </c>
    </row>
    <row r="19" spans="1:13" x14ac:dyDescent="0.2">
      <c r="A19" t="s">
        <v>22</v>
      </c>
      <c r="E19" t="s">
        <v>23</v>
      </c>
    </row>
    <row r="20" spans="1:13" x14ac:dyDescent="0.2">
      <c r="A20" t="s">
        <v>24</v>
      </c>
      <c r="E20">
        <v>530</v>
      </c>
      <c r="F20" t="s">
        <v>25</v>
      </c>
    </row>
    <row r="21" spans="1:13" x14ac:dyDescent="0.2">
      <c r="A21" t="s">
        <v>26</v>
      </c>
      <c r="E21">
        <v>9</v>
      </c>
      <c r="F21" t="s">
        <v>25</v>
      </c>
    </row>
    <row r="22" spans="1:13" x14ac:dyDescent="0.2">
      <c r="A22" t="s">
        <v>27</v>
      </c>
      <c r="E22">
        <v>25</v>
      </c>
    </row>
    <row r="23" spans="1:13" x14ac:dyDescent="0.2">
      <c r="A23" t="s">
        <v>28</v>
      </c>
      <c r="E23">
        <v>0</v>
      </c>
      <c r="F23" t="s">
        <v>29</v>
      </c>
    </row>
    <row r="24" spans="1:13" x14ac:dyDescent="0.2">
      <c r="A24" t="s">
        <v>30</v>
      </c>
      <c r="E24" t="s">
        <v>31</v>
      </c>
    </row>
    <row r="25" spans="1:13" x14ac:dyDescent="0.2">
      <c r="A25" t="s">
        <v>32</v>
      </c>
      <c r="B25" s="2" t="s">
        <v>33</v>
      </c>
    </row>
    <row r="27" spans="1:13" x14ac:dyDescent="0.2">
      <c r="B27" t="s">
        <v>34</v>
      </c>
    </row>
    <row r="28" spans="1:13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I28" t="s">
        <v>46</v>
      </c>
      <c r="L28" t="s">
        <v>47</v>
      </c>
      <c r="M28" t="s">
        <v>48</v>
      </c>
    </row>
    <row r="29" spans="1:13" x14ac:dyDescent="0.2">
      <c r="A29" s="4" t="s">
        <v>36</v>
      </c>
      <c r="B29">
        <v>0.11100000143051147</v>
      </c>
      <c r="C29">
        <v>0.10930000245571136</v>
      </c>
      <c r="D29">
        <v>0.91060000658035278</v>
      </c>
      <c r="E29">
        <v>0.88459998369216919</v>
      </c>
      <c r="F29">
        <v>6.0000002849847078E-4</v>
      </c>
      <c r="G29">
        <v>5.0000002374872565E-4</v>
      </c>
      <c r="I29">
        <f>AVERAGE(B29:C29)</f>
        <v>0.11015000194311142</v>
      </c>
      <c r="L29" t="s">
        <v>49</v>
      </c>
      <c r="M29">
        <f>(AVERAGE(D29:E29)-0.0092)/0.1163*7</f>
        <v>53.472054737350184</v>
      </c>
    </row>
    <row r="30" spans="1:13" x14ac:dyDescent="0.2">
      <c r="A30" s="4" t="s">
        <v>37</v>
      </c>
      <c r="B30">
        <v>0.23469999432563782</v>
      </c>
      <c r="C30">
        <v>0.22360000014305115</v>
      </c>
      <c r="D30">
        <v>1.3069000244140625</v>
      </c>
      <c r="E30">
        <v>1.3052999973297119</v>
      </c>
      <c r="F30">
        <v>1.0000000474974513E-3</v>
      </c>
      <c r="G30">
        <v>7.9999997979030013E-4</v>
      </c>
      <c r="I30">
        <f t="shared" ref="I30:I36" si="0">AVERAGE(B30:C30)</f>
        <v>0.22914999723434448</v>
      </c>
      <c r="L30" t="s">
        <v>50</v>
      </c>
      <c r="M30">
        <f t="shared" ref="M30:M31" si="1">(AVERAGE(D30:E30)-0.0092)/0.1163*7</f>
        <v>78.059329975092083</v>
      </c>
    </row>
    <row r="31" spans="1:13" x14ac:dyDescent="0.2">
      <c r="A31" s="4" t="s">
        <v>38</v>
      </c>
      <c r="B31">
        <v>0.3377000093460083</v>
      </c>
      <c r="C31">
        <v>0.32330000400543213</v>
      </c>
      <c r="D31">
        <v>1.2000000569969416E-3</v>
      </c>
      <c r="E31">
        <v>1.3000000035390258E-3</v>
      </c>
      <c r="F31">
        <v>1.3000000035390258E-3</v>
      </c>
      <c r="G31">
        <v>1.2000000569969416E-3</v>
      </c>
      <c r="I31">
        <f t="shared" si="0"/>
        <v>0.33050000667572021</v>
      </c>
      <c r="L31" t="s">
        <v>51</v>
      </c>
      <c r="M31">
        <f>(I36-0.0092)/0.1163*7</f>
        <v>55.392090241865979</v>
      </c>
    </row>
    <row r="32" spans="1:13" x14ac:dyDescent="0.2">
      <c r="A32" s="4" t="s">
        <v>39</v>
      </c>
      <c r="B32">
        <v>0.54589998722076416</v>
      </c>
      <c r="C32">
        <v>0.53350001573562622</v>
      </c>
      <c r="D32">
        <v>1.39999995008111E-3</v>
      </c>
      <c r="E32">
        <v>1.2000000569969416E-3</v>
      </c>
      <c r="F32">
        <v>1.39999995008111E-3</v>
      </c>
      <c r="G32">
        <v>1.0999999940395355E-3</v>
      </c>
      <c r="I32">
        <f t="shared" si="0"/>
        <v>0.53970000147819519</v>
      </c>
    </row>
    <row r="33" spans="1:9" x14ac:dyDescent="0.2">
      <c r="A33" s="4" t="s">
        <v>40</v>
      </c>
      <c r="B33">
        <v>0.62510001659393311</v>
      </c>
      <c r="C33">
        <v>0.61640000343322754</v>
      </c>
      <c r="D33">
        <v>1.7999999690800905E-3</v>
      </c>
      <c r="E33">
        <v>1.500000013038516E-3</v>
      </c>
      <c r="F33">
        <v>1.39999995008111E-3</v>
      </c>
      <c r="G33">
        <v>1.7000000225380063E-3</v>
      </c>
      <c r="I33">
        <f t="shared" si="0"/>
        <v>0.62075001001358032</v>
      </c>
    </row>
    <row r="34" spans="1:9" x14ac:dyDescent="0.2">
      <c r="A34" s="4" t="s">
        <v>41</v>
      </c>
      <c r="B34">
        <v>0.71060001850128174</v>
      </c>
      <c r="C34">
        <v>0.70200002193450928</v>
      </c>
      <c r="D34">
        <v>1.7999999690800905E-3</v>
      </c>
      <c r="E34">
        <v>1.7999999690800905E-3</v>
      </c>
      <c r="F34">
        <v>1.7000000225380063E-3</v>
      </c>
      <c r="G34">
        <v>1.7000000225380063E-3</v>
      </c>
      <c r="I34">
        <f t="shared" si="0"/>
        <v>0.70630002021789551</v>
      </c>
    </row>
    <row r="35" spans="1:9" x14ac:dyDescent="0.2">
      <c r="A35" s="4" t="s">
        <v>42</v>
      </c>
      <c r="B35">
        <v>0.78369998931884766</v>
      </c>
      <c r="C35">
        <v>0.80479997396469116</v>
      </c>
      <c r="D35">
        <v>1.7999999690800905E-3</v>
      </c>
      <c r="E35">
        <v>1.7000000225380063E-3</v>
      </c>
      <c r="F35">
        <v>1.7000000225380063E-3</v>
      </c>
      <c r="G35">
        <v>1.9000000320374966E-3</v>
      </c>
      <c r="I35">
        <f t="shared" si="0"/>
        <v>0.79424998164176941</v>
      </c>
    </row>
    <row r="36" spans="1:9" x14ac:dyDescent="0.2">
      <c r="A36" s="4" t="s">
        <v>43</v>
      </c>
      <c r="B36">
        <v>0.95840001106262207</v>
      </c>
      <c r="C36">
        <v>0.90060001611709595</v>
      </c>
      <c r="D36">
        <v>2.0000000949949026E-3</v>
      </c>
      <c r="E36">
        <v>1.7999999690800905E-3</v>
      </c>
      <c r="F36">
        <v>1.9000000320374966E-3</v>
      </c>
      <c r="G36">
        <v>1.9000000320374966E-3</v>
      </c>
      <c r="I36">
        <f t="shared" si="0"/>
        <v>0.92950001358985901</v>
      </c>
    </row>
    <row r="41" spans="1:9" x14ac:dyDescent="0.2">
      <c r="A41" t="s">
        <v>44</v>
      </c>
      <c r="B41" s="2" t="s">
        <v>45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47FD-F2E6-46B0-BA0B-FC513B63862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2025-05-21T19:34:44Z</dcterms:created>
  <dcterms:modified xsi:type="dcterms:W3CDTF">2025-05-23T15:07:37Z</dcterms:modified>
</cp:coreProperties>
</file>