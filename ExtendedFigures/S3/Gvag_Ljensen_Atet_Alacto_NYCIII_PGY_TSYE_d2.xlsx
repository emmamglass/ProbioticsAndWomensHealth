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fz5vy/Downloads/"/>
    </mc:Choice>
  </mc:AlternateContent>
  <xr:revisionPtr revIDLastSave="0" documentId="13_ncr:1_{4E76767C-D927-3247-8DD5-C87B7C0B00F2}" xr6:coauthVersionLast="47" xr6:coauthVersionMax="47" xr10:uidLastSave="{00000000-0000-0000-0000-000000000000}"/>
  <bookViews>
    <workbookView xWindow="5740" yWindow="760" windowWidth="21240" windowHeight="15400" xr2:uid="{4A67FB80-0BE2-4B2E-BD8E-D7EEF3776F17}"/>
  </bookViews>
  <sheets>
    <sheet name="Sheet3" sheetId="4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2" l="1"/>
  <c r="K35" i="2"/>
  <c r="L35" i="2"/>
  <c r="J36" i="2"/>
  <c r="K36" i="2"/>
  <c r="L36" i="2"/>
  <c r="J37" i="2"/>
  <c r="K37" i="2"/>
  <c r="L37" i="2"/>
  <c r="K34" i="2"/>
  <c r="L34" i="2"/>
  <c r="L28" i="2"/>
  <c r="M31" i="4"/>
  <c r="N31" i="4"/>
  <c r="L31" i="4"/>
  <c r="M30" i="4"/>
  <c r="N30" i="4"/>
  <c r="L30" i="4"/>
  <c r="M29" i="4"/>
  <c r="N29" i="4"/>
  <c r="L29" i="4"/>
  <c r="M28" i="4"/>
  <c r="N28" i="4"/>
  <c r="K34" i="4" s="1"/>
  <c r="L28" i="4"/>
  <c r="M31" i="2"/>
  <c r="N31" i="2"/>
  <c r="L31" i="2"/>
  <c r="M30" i="2"/>
  <c r="N30" i="2"/>
  <c r="L30" i="2"/>
  <c r="M29" i="2"/>
  <c r="N29" i="2"/>
  <c r="L29" i="2"/>
  <c r="M28" i="2"/>
  <c r="N28" i="2"/>
  <c r="K28" i="2"/>
  <c r="J28" i="2"/>
  <c r="I28" i="2"/>
  <c r="J34" i="2" s="1"/>
  <c r="I35" i="4"/>
  <c r="J35" i="4"/>
  <c r="K35" i="4"/>
  <c r="I36" i="4"/>
  <c r="J36" i="4"/>
  <c r="K36" i="4"/>
  <c r="I37" i="4"/>
  <c r="J37" i="4"/>
  <c r="K37" i="4"/>
  <c r="J34" i="4"/>
  <c r="I34" i="4"/>
  <c r="J31" i="4"/>
  <c r="K31" i="4"/>
  <c r="I31" i="4"/>
  <c r="J29" i="4"/>
  <c r="K29" i="4"/>
  <c r="J30" i="4"/>
  <c r="K30" i="4"/>
  <c r="I30" i="4"/>
  <c r="I29" i="4"/>
  <c r="J31" i="2"/>
  <c r="K31" i="2"/>
  <c r="I31" i="2"/>
  <c r="J30" i="2"/>
  <c r="K30" i="2"/>
  <c r="I30" i="2"/>
  <c r="J29" i="2"/>
  <c r="K29" i="2"/>
  <c r="I29" i="2"/>
  <c r="J28" i="4"/>
  <c r="K28" i="4"/>
  <c r="I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79AA628A-7EA9-4670-A462-3EE2FCAD68E7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85DA8A6-5315-48D4-8AE3-1C8AEF9C58FE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EA67DA82-C516-40E9-870E-78F73EC77922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1FD0505-CE2F-4719-B133-976498BDFAB5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<sst xmlns="http://schemas.openxmlformats.org/spreadsheetml/2006/main" count="123" uniqueCount="53">
  <si>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</si>
  <si>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</si>
  <si>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</si>
  <si>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</si>
  <si>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</si>
  <si>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</si>
  <si>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</si>
  <si>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</si>
  <si>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</si>
  <si>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10:20:48 AM</t>
  </si>
  <si>
    <t>System</t>
  </si>
  <si>
    <t>BME-CTB0JQ1</t>
  </si>
  <si>
    <t>User</t>
  </si>
  <si>
    <t>ESERVICES\tfz5vy</t>
  </si>
  <si>
    <t>Plate</t>
  </si>
  <si>
    <t>Greiner 24 Flat Bottom Transparent Polystyrene Cat. No.: 662102/662160 [GRE24ft.pdfx]</t>
  </si>
  <si>
    <t>Plate-ID (Stacker)</t>
  </si>
  <si>
    <t>Shaking (Linear) Duration:</t>
  </si>
  <si>
    <t>s</t>
  </si>
  <si>
    <t>Shaking (Linear)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</si>
  <si>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</si>
  <si>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</si>
  <si>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</si>
  <si>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</si>
  <si>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</si>
  <si>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</si>
  <si>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</si>
  <si>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</si>
  <si>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</si>
  <si>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</si>
  <si>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</si>
  <si>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1/21/2025 10:20:54 AM</t>
  </si>
  <si>
    <t>Temperature: 21.3 °C</t>
  </si>
  <si>
    <t>&lt;&gt;</t>
  </si>
  <si>
    <t>End Time:</t>
  </si>
  <si>
    <t>1/21/2025 10:21:19 AM</t>
  </si>
  <si>
    <t>Temperature: 21.4 °C</t>
  </si>
  <si>
    <t>10:22:46 AM</t>
  </si>
  <si>
    <t>1/21/2025 10:22:52 AM</t>
  </si>
  <si>
    <t>1/21/2025 10:23:17 AM</t>
  </si>
  <si>
    <t>BLANKS</t>
  </si>
  <si>
    <t>NYCIII</t>
  </si>
  <si>
    <t>PGY</t>
  </si>
  <si>
    <t>TSYE</t>
  </si>
  <si>
    <t>G. vaginalis</t>
  </si>
  <si>
    <t>L. jensenii</t>
  </si>
  <si>
    <t>A. tetradius</t>
  </si>
  <si>
    <t>A. lactolyticus</t>
  </si>
  <si>
    <t>A . Marseille</t>
  </si>
  <si>
    <t>BLANK</t>
  </si>
  <si>
    <t>V. bacterium</t>
  </si>
  <si>
    <t>E. marseille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</si>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</sst>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8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2" fillId="0" borderId="0" xfId="0" applyFont="1"/>
    <xf numFmtId="0" fontId="1" fillId="0" borderId="0" xfId="0" applyFont="1" applyFill="1"/>
    <xf numFmtId="0" fontId="1" fillId="0" borderId="1" xfId="0" applyFont="1" applyFill="1" applyBorder="1"/>
  </cellXfs>
  <cellStyles count="8">
    <cellStyle name="Normal" xfId="0" builtinId="0"/>
    <cellStyle name="Tecan.At.Excel.Attenuation" xfId="6" xr:uid="{18098F99-7AF4-4C32-A8CC-28466DE02EF2}"/>
    <cellStyle name="Tecan.At.Excel.AutoGain_0" xfId="7" xr:uid="{04D9D795-A645-4E13-A9F7-7A4097409867}"/>
    <cellStyle name="Tecan.At.Excel.Error" xfId="1" xr:uid="{888923FA-E5FD-4C03-91DA-2050A3C38DC2}"/>
    <cellStyle name="Tecan.At.Excel.GFactorAndMeasurementBlank" xfId="5" xr:uid="{4F52A439-F18F-4B3E-B144-2EAD8E044C39}"/>
    <cellStyle name="Tecan.At.Excel.GFactorBlank" xfId="3" xr:uid="{1DFCC75E-5AD0-4B4F-A0B3-5200DC342E28}"/>
    <cellStyle name="Tecan.At.Excel.GFactorReference" xfId="4" xr:uid="{F7E19CD9-4512-4FE0-8587-0D9F9C148FD5}"/>
    <cellStyle name="Tecan.At.Excel.MeasurementBlank" xfId="2" xr:uid="{8C3DEB6D-E96A-4343-955D-4D9DE7A59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B88F-617D-4AD0-B2F9-D81EF0DB162A}">
  <dimension ref="A1:N37"/>
  <sheetViews>
    <sheetView tabSelected="1" topLeftCell="A8" workbookViewId="0">
      <selection activeCell="H33" sqref="H33:K37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45678</v>
      </c>
    </row>
    <row r="6" spans="1:12" x14ac:dyDescent="0.2">
      <c r="A6" t="s">
        <v>8</v>
      </c>
      <c r="B6" s="2" t="s">
        <v>37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6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4" x14ac:dyDescent="0.2">
      <c r="A18" t="s">
        <v>21</v>
      </c>
    </row>
    <row r="19" spans="1:14" x14ac:dyDescent="0.2">
      <c r="A19" t="s">
        <v>22</v>
      </c>
      <c r="E19" t="s">
        <v>23</v>
      </c>
    </row>
    <row r="20" spans="1:14" x14ac:dyDescent="0.2">
      <c r="A20" t="s">
        <v>24</v>
      </c>
      <c r="E20">
        <v>600</v>
      </c>
      <c r="F20" t="s">
        <v>25</v>
      </c>
    </row>
    <row r="21" spans="1:14" x14ac:dyDescent="0.2">
      <c r="A21" t="s">
        <v>26</v>
      </c>
      <c r="E21">
        <v>9</v>
      </c>
      <c r="F21" t="s">
        <v>25</v>
      </c>
    </row>
    <row r="22" spans="1:14" x14ac:dyDescent="0.2">
      <c r="A22" t="s">
        <v>27</v>
      </c>
      <c r="E22">
        <v>25</v>
      </c>
    </row>
    <row r="23" spans="1:14" x14ac:dyDescent="0.2">
      <c r="A23" t="s">
        <v>28</v>
      </c>
      <c r="E23">
        <v>0</v>
      </c>
      <c r="F23" t="s">
        <v>29</v>
      </c>
    </row>
    <row r="24" spans="1:14" x14ac:dyDescent="0.2">
      <c r="A24" t="s">
        <v>30</v>
      </c>
      <c r="B24" s="2" t="s">
        <v>38</v>
      </c>
    </row>
    <row r="26" spans="1:14" x14ac:dyDescent="0.2">
      <c r="B26" t="s">
        <v>36</v>
      </c>
    </row>
    <row r="27" spans="1:14" x14ac:dyDescent="0.2">
      <c r="A27" s="4" t="s">
        <v>33</v>
      </c>
      <c r="B27" s="4" t="s">
        <v>41</v>
      </c>
      <c r="C27" s="4" t="s">
        <v>42</v>
      </c>
      <c r="D27" s="4" t="s">
        <v>43</v>
      </c>
      <c r="E27" s="4" t="s">
        <v>41</v>
      </c>
      <c r="F27" s="4" t="s">
        <v>42</v>
      </c>
      <c r="G27" s="4" t="s">
        <v>43</v>
      </c>
      <c r="I27" s="4" t="s">
        <v>41</v>
      </c>
      <c r="J27" s="4" t="s">
        <v>42</v>
      </c>
      <c r="K27" s="4" t="s">
        <v>43</v>
      </c>
      <c r="L27" s="4" t="s">
        <v>41</v>
      </c>
      <c r="M27" s="4" t="s">
        <v>42</v>
      </c>
      <c r="N27" s="4" t="s">
        <v>43</v>
      </c>
    </row>
    <row r="28" spans="1:14" x14ac:dyDescent="0.2">
      <c r="A28" s="4" t="s">
        <v>48</v>
      </c>
      <c r="B28">
        <v>0.44870001077651978</v>
      </c>
      <c r="C28">
        <v>1.1045999526977539</v>
      </c>
      <c r="D28">
        <v>0.29289999604225159</v>
      </c>
      <c r="E28">
        <v>0.54040002822875977</v>
      </c>
      <c r="F28">
        <v>1.1430000066757202</v>
      </c>
      <c r="G28">
        <v>0.26800000667572021</v>
      </c>
      <c r="I28">
        <f>B28-(B29+E29)/2</f>
        <v>0.17710001766681671</v>
      </c>
      <c r="J28">
        <f t="shared" ref="J28:N31" si="0">C28-(C29+F29)/2</f>
        <v>0.83409994840621948</v>
      </c>
      <c r="K28">
        <f t="shared" si="0"/>
        <v>2.6549994945526123E-2</v>
      </c>
      <c r="L28">
        <f>E28-(B29+E29)/2</f>
        <v>0.2688000351190567</v>
      </c>
      <c r="M28">
        <f t="shared" ref="M28:N28" si="1">F28-(C29+F29)/2</f>
        <v>0.87250000238418579</v>
      </c>
      <c r="N28">
        <f t="shared" si="1"/>
        <v>1.650005578994751E-3</v>
      </c>
    </row>
    <row r="29" spans="1:14" x14ac:dyDescent="0.2">
      <c r="A29" s="4" t="s">
        <v>49</v>
      </c>
      <c r="B29">
        <v>0.25009998679161072</v>
      </c>
      <c r="C29">
        <v>0.25830000638961792</v>
      </c>
      <c r="D29">
        <v>0.25990000367164612</v>
      </c>
      <c r="E29">
        <v>0.29309999942779541</v>
      </c>
      <c r="F29">
        <v>0.28270000219345093</v>
      </c>
      <c r="G29">
        <v>0.27279999852180481</v>
      </c>
      <c r="I29">
        <f>B29-(B29+E29)/2</f>
        <v>-2.1500006318092346E-2</v>
      </c>
      <c r="J29">
        <f t="shared" ref="J29:N29" si="2">C29-(C29+F29)/2</f>
        <v>-1.2199997901916504E-2</v>
      </c>
      <c r="K29">
        <f t="shared" si="2"/>
        <v>-6.4499974250793457E-3</v>
      </c>
      <c r="L29">
        <f>E29-(B29+E29)/2</f>
        <v>2.1500006318092346E-2</v>
      </c>
      <c r="M29">
        <f t="shared" ref="M29:N29" si="3">F29-(C29+F29)/2</f>
        <v>1.2199997901916504E-2</v>
      </c>
      <c r="N29">
        <f t="shared" si="3"/>
        <v>6.4499974250793457E-3</v>
      </c>
    </row>
    <row r="30" spans="1:14" x14ac:dyDescent="0.2">
      <c r="A30" s="4" t="s">
        <v>50</v>
      </c>
      <c r="B30">
        <v>0.3970000147819519</v>
      </c>
      <c r="C30">
        <v>0.4593999981880188</v>
      </c>
      <c r="D30">
        <v>0.34769999980926514</v>
      </c>
      <c r="E30">
        <v>0.40979999303817749</v>
      </c>
      <c r="F30">
        <v>0.46790000796318054</v>
      </c>
      <c r="G30">
        <v>0.34119999408721924</v>
      </c>
      <c r="I30">
        <f>B30-(B29+E29)/2</f>
        <v>0.12540002167224884</v>
      </c>
      <c r="J30">
        <f t="shared" ref="J30:N30" si="4">C30-(C29+F29)/2</f>
        <v>0.18889999389648438</v>
      </c>
      <c r="K30">
        <f t="shared" si="4"/>
        <v>8.1349998712539673E-2</v>
      </c>
      <c r="L30">
        <f>E30-(B29+E29)/2</f>
        <v>0.13819999992847443</v>
      </c>
      <c r="M30">
        <f t="shared" ref="M30:N30" si="5">F30-(C29+F29)/2</f>
        <v>0.19740000367164612</v>
      </c>
      <c r="N30">
        <f t="shared" si="5"/>
        <v>7.4849992990493774E-2</v>
      </c>
    </row>
    <row r="31" spans="1:14" x14ac:dyDescent="0.2">
      <c r="A31" s="4" t="s">
        <v>51</v>
      </c>
      <c r="B31">
        <v>0.28810000419616699</v>
      </c>
      <c r="C31">
        <v>0.37070000171661377</v>
      </c>
      <c r="D31">
        <v>0.28810000419616699</v>
      </c>
      <c r="E31">
        <v>0.31549999117851257</v>
      </c>
      <c r="F31">
        <v>0.38839998841285706</v>
      </c>
      <c r="G31">
        <v>0.25510001182556152</v>
      </c>
      <c r="I31">
        <f>B31-(B29+E29)/2</f>
        <v>1.6500011086463928E-2</v>
      </c>
      <c r="J31">
        <f t="shared" ref="J31:N31" si="6">C31-(C29+F29)/2</f>
        <v>0.10019999742507935</v>
      </c>
      <c r="K31">
        <f t="shared" si="6"/>
        <v>2.1750003099441528E-2</v>
      </c>
      <c r="L31">
        <f>E31-(B29+E29)/2</f>
        <v>4.3899998068809509E-2</v>
      </c>
      <c r="M31">
        <f t="shared" ref="M31:N31" si="7">F31-(C29+F29)/2</f>
        <v>0.11789998412132263</v>
      </c>
      <c r="N31">
        <f t="shared" si="7"/>
        <v>-1.124998927116394E-2</v>
      </c>
    </row>
    <row r="33" spans="1:13" x14ac:dyDescent="0.2">
      <c r="H33" s="4" t="s">
        <v>52</v>
      </c>
      <c r="I33" s="4" t="s">
        <v>41</v>
      </c>
      <c r="J33" s="4" t="s">
        <v>42</v>
      </c>
      <c r="K33" s="4" t="s">
        <v>43</v>
      </c>
      <c r="L33" s="6"/>
      <c r="M33" s="6"/>
    </row>
    <row r="34" spans="1:13" x14ac:dyDescent="0.2">
      <c r="H34" s="4" t="s">
        <v>48</v>
      </c>
      <c r="I34">
        <f>(I28+L28)/2</f>
        <v>0.22295002639293671</v>
      </c>
      <c r="J34">
        <f t="shared" ref="J34:K34" si="8">(J28+M28)/2</f>
        <v>0.85329997539520264</v>
      </c>
      <c r="K34">
        <f t="shared" si="8"/>
        <v>1.4100000262260437E-2</v>
      </c>
    </row>
    <row r="35" spans="1:13" x14ac:dyDescent="0.2">
      <c r="H35" s="4" t="s">
        <v>49</v>
      </c>
      <c r="I35">
        <f t="shared" ref="I35:I37" si="9">(I29+L29)/2</f>
        <v>0</v>
      </c>
      <c r="J35">
        <f t="shared" ref="J35:J37" si="10">(J29+M29)/2</f>
        <v>0</v>
      </c>
      <c r="K35">
        <f t="shared" ref="K35:K37" si="11">(K29+N29)/2</f>
        <v>0</v>
      </c>
    </row>
    <row r="36" spans="1:13" x14ac:dyDescent="0.2">
      <c r="A36" t="s">
        <v>34</v>
      </c>
      <c r="B36" s="2" t="s">
        <v>39</v>
      </c>
      <c r="H36" s="4" t="s">
        <v>50</v>
      </c>
      <c r="I36">
        <f t="shared" si="9"/>
        <v>0.13180001080036163</v>
      </c>
      <c r="J36">
        <f t="shared" si="10"/>
        <v>0.19314999878406525</v>
      </c>
      <c r="K36">
        <f t="shared" si="11"/>
        <v>7.8099995851516724E-2</v>
      </c>
    </row>
    <row r="37" spans="1:13" x14ac:dyDescent="0.2">
      <c r="H37" s="4" t="s">
        <v>51</v>
      </c>
      <c r="I37">
        <f t="shared" si="9"/>
        <v>3.0200004577636719E-2</v>
      </c>
      <c r="J37">
        <f t="shared" si="10"/>
        <v>0.10904999077320099</v>
      </c>
      <c r="K37">
        <f t="shared" si="11"/>
        <v>5.2500069141387939E-3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8278-C150-44B9-B58C-7070DC39FEC2}">
  <dimension ref="A1:N37"/>
  <sheetViews>
    <sheetView topLeftCell="A17" workbookViewId="0">
      <selection activeCell="I33" sqref="I33:L37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45678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6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4" x14ac:dyDescent="0.2">
      <c r="A18" t="s">
        <v>21</v>
      </c>
    </row>
    <row r="19" spans="1:14" x14ac:dyDescent="0.2">
      <c r="A19" t="s">
        <v>22</v>
      </c>
      <c r="E19" t="s">
        <v>23</v>
      </c>
    </row>
    <row r="20" spans="1:14" x14ac:dyDescent="0.2">
      <c r="A20" t="s">
        <v>24</v>
      </c>
      <c r="E20">
        <v>600</v>
      </c>
      <c r="F20" t="s">
        <v>25</v>
      </c>
    </row>
    <row r="21" spans="1:14" x14ac:dyDescent="0.2">
      <c r="A21" t="s">
        <v>26</v>
      </c>
      <c r="E21">
        <v>9</v>
      </c>
      <c r="F21" t="s">
        <v>25</v>
      </c>
    </row>
    <row r="22" spans="1:14" x14ac:dyDescent="0.2">
      <c r="A22" t="s">
        <v>27</v>
      </c>
      <c r="E22">
        <v>25</v>
      </c>
    </row>
    <row r="23" spans="1:14" x14ac:dyDescent="0.2">
      <c r="A23" t="s">
        <v>28</v>
      </c>
      <c r="E23">
        <v>0</v>
      </c>
      <c r="F23" t="s">
        <v>29</v>
      </c>
    </row>
    <row r="24" spans="1:14" x14ac:dyDescent="0.2">
      <c r="A24" t="s">
        <v>30</v>
      </c>
      <c r="B24" s="2" t="s">
        <v>31</v>
      </c>
    </row>
    <row r="26" spans="1:14" x14ac:dyDescent="0.2">
      <c r="B26" t="s">
        <v>32</v>
      </c>
    </row>
    <row r="27" spans="1:14" x14ac:dyDescent="0.2">
      <c r="A27" s="4" t="s">
        <v>33</v>
      </c>
      <c r="B27" s="4" t="s">
        <v>41</v>
      </c>
      <c r="C27" s="4" t="s">
        <v>42</v>
      </c>
      <c r="D27" s="4" t="s">
        <v>43</v>
      </c>
      <c r="E27" s="4" t="s">
        <v>41</v>
      </c>
      <c r="F27" s="4" t="s">
        <v>42</v>
      </c>
      <c r="G27" s="4" t="s">
        <v>43</v>
      </c>
      <c r="I27" s="4" t="s">
        <v>41</v>
      </c>
      <c r="J27" s="4" t="s">
        <v>42</v>
      </c>
      <c r="K27" s="4" t="s">
        <v>43</v>
      </c>
      <c r="L27" s="4" t="s">
        <v>41</v>
      </c>
      <c r="M27" s="4" t="s">
        <v>42</v>
      </c>
      <c r="N27" s="4" t="s">
        <v>43</v>
      </c>
    </row>
    <row r="28" spans="1:14" x14ac:dyDescent="0.2">
      <c r="A28" s="4" t="s">
        <v>44</v>
      </c>
      <c r="B28">
        <v>0.65509998798370361</v>
      </c>
      <c r="C28">
        <v>0.47060000896453857</v>
      </c>
      <c r="D28">
        <v>0.4544999897480011</v>
      </c>
      <c r="E28">
        <v>0.67799997329711914</v>
      </c>
      <c r="F28">
        <v>0.33529999852180481</v>
      </c>
      <c r="G28">
        <v>0.46560001373291016</v>
      </c>
      <c r="I28">
        <f>B28-(B34+E34)/2</f>
        <v>0.38349998798370361</v>
      </c>
      <c r="J28">
        <f>C28-(C34+F34)/2</f>
        <v>0.20010000896453861</v>
      </c>
      <c r="K28">
        <f>D28-(D34+G34)/2</f>
        <v>0.18814998974800112</v>
      </c>
      <c r="L28">
        <f>E28-(B34+E34)/2</f>
        <v>0.40639997329711913</v>
      </c>
      <c r="M28">
        <f t="shared" ref="M28:N28" si="0">F28-(C34+F34)/2</f>
        <v>6.4799998521804847E-2</v>
      </c>
      <c r="N28">
        <f t="shared" si="0"/>
        <v>0.19925001373291018</v>
      </c>
    </row>
    <row r="29" spans="1:14" x14ac:dyDescent="0.2">
      <c r="A29" s="4" t="s">
        <v>45</v>
      </c>
      <c r="B29">
        <v>0.78049999475479126</v>
      </c>
      <c r="C29">
        <v>0.89810001850128174</v>
      </c>
      <c r="D29">
        <v>0.38870000839233398</v>
      </c>
      <c r="E29">
        <v>0.78329998254776001</v>
      </c>
      <c r="F29">
        <v>0.9968000054359436</v>
      </c>
      <c r="G29">
        <v>0.37700000405311584</v>
      </c>
      <c r="I29">
        <f>B29-(B34+E34)/2</f>
        <v>0.5088999947547912</v>
      </c>
      <c r="J29">
        <f t="shared" ref="J29:K29" si="1">C29-(C34+F34)/2</f>
        <v>0.62760001850128178</v>
      </c>
      <c r="K29">
        <f t="shared" si="1"/>
        <v>0.12235000839233401</v>
      </c>
      <c r="L29">
        <f>E29-(EB34+E34)/2</f>
        <v>0.63674998254776005</v>
      </c>
      <c r="M29">
        <f t="shared" ref="M29:N29" si="2">F29-(EC34+F34)/2</f>
        <v>0.85545000543594363</v>
      </c>
      <c r="N29">
        <f t="shared" si="2"/>
        <v>0.24060000405311585</v>
      </c>
    </row>
    <row r="30" spans="1:14" x14ac:dyDescent="0.2">
      <c r="A30" s="4" t="s">
        <v>46</v>
      </c>
      <c r="B30">
        <v>0.83069998025894165</v>
      </c>
      <c r="C30">
        <v>1.5464999675750732</v>
      </c>
      <c r="D30">
        <v>0.42989999055862427</v>
      </c>
      <c r="E30">
        <v>0.81540000438690186</v>
      </c>
      <c r="F30">
        <v>1.4754999876022339</v>
      </c>
      <c r="G30">
        <v>0.31560000777244568</v>
      </c>
      <c r="I30">
        <f>B30-(B34+E34)/2</f>
        <v>0.55909998025894159</v>
      </c>
      <c r="J30">
        <f t="shared" ref="J30:K30" si="3">C30-(C34+F34)/2</f>
        <v>1.2759999675750733</v>
      </c>
      <c r="K30">
        <f t="shared" si="3"/>
        <v>0.16354999055862429</v>
      </c>
      <c r="L30">
        <f>E30-(B34+E34)/2</f>
        <v>0.54380000438690179</v>
      </c>
      <c r="M30">
        <f t="shared" ref="M30:N30" si="4">F30-(C34+F34)/2</f>
        <v>1.2049999876022339</v>
      </c>
      <c r="N30">
        <f t="shared" si="4"/>
        <v>4.9250007772445703E-2</v>
      </c>
    </row>
    <row r="31" spans="1:14" x14ac:dyDescent="0.2">
      <c r="A31" s="4" t="s">
        <v>47</v>
      </c>
      <c r="B31">
        <v>0.39989998936653137</v>
      </c>
      <c r="C31">
        <v>0.78430002927780151</v>
      </c>
      <c r="D31">
        <v>0.29760000109672546</v>
      </c>
      <c r="E31">
        <v>0.46599999070167542</v>
      </c>
      <c r="F31">
        <v>0.84299999475479126</v>
      </c>
      <c r="G31">
        <v>0.24950000643730164</v>
      </c>
      <c r="I31">
        <f>B31-(B34+E34)/2</f>
        <v>0.12829998936653136</v>
      </c>
      <c r="J31">
        <f t="shared" ref="J31:K31" si="5">C31-(C34+F34)/2</f>
        <v>0.51380002927780155</v>
      </c>
      <c r="K31">
        <f t="shared" si="5"/>
        <v>3.1250001096725488E-2</v>
      </c>
      <c r="L31">
        <f>E31-(B34+E34)/2</f>
        <v>0.19439999070167541</v>
      </c>
      <c r="M31">
        <f t="shared" ref="M31:N31" si="6">F31-(C34+F34)/2</f>
        <v>0.5724999947547913</v>
      </c>
      <c r="N31">
        <f t="shared" si="6"/>
        <v>-1.684999356269834E-2</v>
      </c>
    </row>
    <row r="33" spans="1:14" x14ac:dyDescent="0.2">
      <c r="I33" s="4" t="s">
        <v>52</v>
      </c>
      <c r="J33" s="4" t="s">
        <v>41</v>
      </c>
      <c r="K33" s="4" t="s">
        <v>42</v>
      </c>
      <c r="L33" s="4" t="s">
        <v>43</v>
      </c>
      <c r="M33" s="7"/>
      <c r="N33" s="7"/>
    </row>
    <row r="34" spans="1:14" x14ac:dyDescent="0.2">
      <c r="A34" s="4" t="s">
        <v>40</v>
      </c>
      <c r="B34" s="5">
        <v>0.25009999999999999</v>
      </c>
      <c r="C34" s="5">
        <v>0.25829999999999997</v>
      </c>
      <c r="D34" s="5">
        <v>0.25990000000000002</v>
      </c>
      <c r="E34" s="5">
        <v>0.29310000000000003</v>
      </c>
      <c r="F34" s="5">
        <v>0.28270000000000001</v>
      </c>
      <c r="G34" s="5">
        <v>0.27279999999999999</v>
      </c>
      <c r="I34" s="4" t="s">
        <v>44</v>
      </c>
      <c r="J34">
        <f>(I28+L28)/2</f>
        <v>0.39494998064041137</v>
      </c>
      <c r="K34">
        <f t="shared" ref="K34:L34" si="7">(J28+M28)/2</f>
        <v>0.13245000374317173</v>
      </c>
      <c r="L34">
        <f t="shared" si="7"/>
        <v>0.19370000174045565</v>
      </c>
    </row>
    <row r="35" spans="1:14" x14ac:dyDescent="0.2">
      <c r="I35" s="4" t="s">
        <v>45</v>
      </c>
      <c r="J35">
        <f t="shared" ref="J35:J37" si="8">(I29+L29)/2</f>
        <v>0.57282498865127562</v>
      </c>
      <c r="K35">
        <f t="shared" ref="K35:K37" si="9">(J29+M29)/2</f>
        <v>0.74152501196861276</v>
      </c>
      <c r="L35">
        <f t="shared" ref="L35:L37" si="10">(K29+N29)/2</f>
        <v>0.18147500622272494</v>
      </c>
    </row>
    <row r="36" spans="1:14" x14ac:dyDescent="0.2">
      <c r="A36" t="s">
        <v>34</v>
      </c>
      <c r="B36" s="2" t="s">
        <v>35</v>
      </c>
      <c r="I36" s="4" t="s">
        <v>46</v>
      </c>
      <c r="J36">
        <f t="shared" si="8"/>
        <v>0.55144999232292169</v>
      </c>
      <c r="K36">
        <f t="shared" si="9"/>
        <v>1.2404999775886536</v>
      </c>
      <c r="L36">
        <f t="shared" si="10"/>
        <v>0.106399999165535</v>
      </c>
    </row>
    <row r="37" spans="1:14" x14ac:dyDescent="0.2">
      <c r="I37" s="4" t="s">
        <v>47</v>
      </c>
      <c r="J37">
        <f t="shared" si="8"/>
        <v>0.16134999003410339</v>
      </c>
      <c r="K37">
        <f t="shared" si="9"/>
        <v>0.54315001201629642</v>
      </c>
      <c r="L37">
        <f t="shared" si="10"/>
        <v>7.2000037670135741E-3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06B4-F906-441A-868A-E9E4700DA138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Microsoft Office User</cp:lastModifiedBy>
  <dcterms:created xsi:type="dcterms:W3CDTF">2025-01-21T15:20:45Z</dcterms:created>
  <dcterms:modified xsi:type="dcterms:W3CDTF">2025-01-21T17:31:44Z</dcterms:modified>
</cp:coreProperties>
</file>