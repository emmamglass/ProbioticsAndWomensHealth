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fz5vy/Downloads/"/>
    </mc:Choice>
  </mc:AlternateContent>
  <xr:revisionPtr revIDLastSave="0" documentId="13_ncr:1_{8E4F188C-0DC2-B54B-9F96-5CC2C6B354E5}" xr6:coauthVersionLast="47" xr6:coauthVersionMax="47" xr10:uidLastSave="{00000000-0000-0000-0000-000000000000}"/>
  <bookViews>
    <workbookView xWindow="0" yWindow="760" windowWidth="21240" windowHeight="15400" xr2:uid="{6960D1DF-65A4-44C2-BCE4-23C9633073E5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2" l="1"/>
  <c r="N31" i="2"/>
  <c r="M31" i="2"/>
  <c r="J38" i="2" s="1"/>
  <c r="N30" i="2"/>
  <c r="O30" i="2"/>
  <c r="M30" i="2"/>
  <c r="N29" i="2"/>
  <c r="O29" i="2"/>
  <c r="M29" i="2"/>
  <c r="N28" i="2"/>
  <c r="O28" i="2"/>
  <c r="M28" i="2"/>
  <c r="J34" i="3"/>
  <c r="K34" i="3"/>
  <c r="J35" i="3"/>
  <c r="K35" i="3"/>
  <c r="J36" i="3"/>
  <c r="K36" i="3"/>
  <c r="J37" i="3"/>
  <c r="K37" i="3"/>
  <c r="I35" i="3"/>
  <c r="I36" i="3"/>
  <c r="I37" i="3"/>
  <c r="I34" i="3"/>
  <c r="K35" i="2"/>
  <c r="L35" i="2"/>
  <c r="K36" i="2"/>
  <c r="L36" i="2"/>
  <c r="K37" i="2"/>
  <c r="L37" i="2"/>
  <c r="K38" i="2"/>
  <c r="L38" i="2"/>
  <c r="J36" i="2"/>
  <c r="J37" i="2"/>
  <c r="J35" i="2"/>
  <c r="K30" i="2"/>
  <c r="L30" i="2"/>
  <c r="J30" i="2"/>
  <c r="K31" i="2"/>
  <c r="L31" i="2"/>
  <c r="J31" i="2"/>
  <c r="K29" i="2"/>
  <c r="L29" i="2"/>
  <c r="J29" i="2"/>
  <c r="J31" i="3"/>
  <c r="K31" i="3"/>
  <c r="L31" i="3"/>
  <c r="M31" i="3"/>
  <c r="N31" i="3"/>
  <c r="I31" i="3"/>
  <c r="J30" i="3"/>
  <c r="K30" i="3"/>
  <c r="L30" i="3"/>
  <c r="M30" i="3"/>
  <c r="N30" i="3"/>
  <c r="I30" i="3"/>
  <c r="J29" i="3"/>
  <c r="K29" i="3"/>
  <c r="L29" i="3"/>
  <c r="M29" i="3"/>
  <c r="N29" i="3"/>
  <c r="I29" i="3"/>
  <c r="L28" i="3"/>
  <c r="K28" i="2"/>
  <c r="L28" i="2"/>
  <c r="J28" i="2"/>
  <c r="J28" i="3"/>
  <c r="K28" i="3"/>
  <c r="M28" i="3"/>
  <c r="N28" i="3"/>
  <c r="I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9FF419F7-05EF-439E-987E-F4ED9F2BB52E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78F2B66-9C7C-4B73-8C16-F20566C4E081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996339F3-2B52-425B-AB9C-C7540A5C4032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8D97622-11E2-49A7-8633-84599E21D679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<sst xmlns="http://schemas.openxmlformats.org/spreadsheetml/2006/main" count="126" uniqueCount="52">
  <si>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</si>
  <si>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</si>
  <si>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</si>
  <si>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</si>
  <si>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</si>
  <si>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</si>
  <si>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</si>
  <si>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</si>
  <si>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</si>
  <si>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11:37:57 AM</t>
  </si>
  <si>
    <t>System</t>
  </si>
  <si>
    <t>BME-CTB0JQ1</t>
  </si>
  <si>
    <t>User</t>
  </si>
  <si>
    <t>ESERVICES\tfz5vy</t>
  </si>
  <si>
    <t>Plate</t>
  </si>
  <si>
    <t>Greiner 24 Flat Bottom Transparent Polystyrene Cat. No.: 662102/662160 [GRE24ft.pdfx]</t>
  </si>
  <si>
    <t>Plate-ID (Stacker)</t>
  </si>
  <si>
    <t>Shaking (Linear) Duration:</t>
  </si>
  <si>
    <t>s</t>
  </si>
  <si>
    <t>Shaking (Linear)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</si>
  <si>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</si>
  <si>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</si>
  <si>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</si>
  <si>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</si>
  <si>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</si>
  <si>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</si>
  <si>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</si>
  <si>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</si>
  <si>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</si>
  <si>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</si>
  <si>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</si>
  <si>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1/20/2025 11:38:02 AM</t>
  </si>
  <si>
    <t>Temperature: 23.4 °C</t>
  </si>
  <si>
    <t>&lt;&gt;</t>
  </si>
  <si>
    <t>End Time:</t>
  </si>
  <si>
    <t>1/20/2025 11:38:27 AM</t>
  </si>
  <si>
    <t>11:39:50 AM</t>
  </si>
  <si>
    <t>1/20/2025 11:39:55 AM</t>
  </si>
  <si>
    <t>Temperature: 23.5 °C</t>
  </si>
  <si>
    <t>1/20/2025 11:40:20 AM</t>
  </si>
  <si>
    <t>NYCIII</t>
  </si>
  <si>
    <t>PGY</t>
  </si>
  <si>
    <t>TSYE</t>
  </si>
  <si>
    <t>G. vaginalis</t>
  </si>
  <si>
    <t>L. jensenii</t>
  </si>
  <si>
    <t>A. tetradius</t>
  </si>
  <si>
    <t>A. lactolyticus</t>
  </si>
  <si>
    <t>A . Marseille</t>
  </si>
  <si>
    <t>BLANK</t>
  </si>
  <si>
    <t>V. bacterium</t>
  </si>
  <si>
    <t>E. marseille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</si>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</sst>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1" fillId="0" borderId="0" xfId="0" applyFont="1" applyFill="1"/>
  </cellXfs>
  <cellStyles count="8">
    <cellStyle name="Normal" xfId="0" builtinId="0"/>
    <cellStyle name="Tecan.At.Excel.Attenuation" xfId="6" xr:uid="{4C9F75EA-D44E-409A-A7AC-CEEDBFAA6781}"/>
    <cellStyle name="Tecan.At.Excel.AutoGain_0" xfId="7" xr:uid="{C556574C-9B4C-4C09-A6D2-E8FA413893CD}"/>
    <cellStyle name="Tecan.At.Excel.Error" xfId="1" xr:uid="{92B9E7F6-30C4-4408-9BEA-235377C2C3B4}"/>
    <cellStyle name="Tecan.At.Excel.GFactorAndMeasurementBlank" xfId="5" xr:uid="{37A6D2BC-C132-40B9-A7D4-60BF5F4BF3A1}"/>
    <cellStyle name="Tecan.At.Excel.GFactorBlank" xfId="3" xr:uid="{A1765479-1AAE-4052-9F77-C3A0473DCAB5}"/>
    <cellStyle name="Tecan.At.Excel.GFactorReference" xfId="4" xr:uid="{75FC7CE3-AFBA-4ACE-921C-7BF606D994A9}"/>
    <cellStyle name="Tecan.At.Excel.MeasurementBlank" xfId="2" xr:uid="{2BBDF9B8-786A-46A4-9F60-469C351BF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8E03-3661-4F72-80A2-24AF7EBE9394}">
  <dimension ref="A1:N37"/>
  <sheetViews>
    <sheetView tabSelected="1" topLeftCell="A10" workbookViewId="0">
      <selection activeCell="H33" sqref="H33:K37"/>
    </sheetView>
  </sheetViews>
  <sheetFormatPr baseColWidth="10" defaultColWidth="8.83203125" defaultRowHeight="15" x14ac:dyDescent="0.2"/>
  <cols>
    <col min="1" max="1" width="12.1640625" customWidth="1"/>
    <col min="8" max="8" width="10.83203125" bestFit="1" customWidth="1"/>
  </cols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45677</v>
      </c>
    </row>
    <row r="6" spans="1:12" x14ac:dyDescent="0.2">
      <c r="A6" t="s">
        <v>8</v>
      </c>
      <c r="B6" s="2" t="s">
        <v>36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4" x14ac:dyDescent="0.2">
      <c r="A18" t="s">
        <v>21</v>
      </c>
    </row>
    <row r="19" spans="1:14" x14ac:dyDescent="0.2">
      <c r="A19" t="s">
        <v>22</v>
      </c>
      <c r="E19" t="s">
        <v>23</v>
      </c>
    </row>
    <row r="20" spans="1:14" x14ac:dyDescent="0.2">
      <c r="A20" t="s">
        <v>24</v>
      </c>
      <c r="E20">
        <v>600</v>
      </c>
      <c r="F20" t="s">
        <v>25</v>
      </c>
    </row>
    <row r="21" spans="1:14" x14ac:dyDescent="0.2">
      <c r="A21" t="s">
        <v>26</v>
      </c>
      <c r="E21">
        <v>9</v>
      </c>
      <c r="F21" t="s">
        <v>25</v>
      </c>
    </row>
    <row r="22" spans="1:14" x14ac:dyDescent="0.2">
      <c r="A22" t="s">
        <v>27</v>
      </c>
      <c r="E22">
        <v>25</v>
      </c>
    </row>
    <row r="23" spans="1:14" x14ac:dyDescent="0.2">
      <c r="A23" t="s">
        <v>28</v>
      </c>
      <c r="E23">
        <v>0</v>
      </c>
      <c r="F23" t="s">
        <v>29</v>
      </c>
    </row>
    <row r="24" spans="1:14" x14ac:dyDescent="0.2">
      <c r="A24" t="s">
        <v>30</v>
      </c>
      <c r="B24" s="2" t="s">
        <v>37</v>
      </c>
    </row>
    <row r="26" spans="1:14" x14ac:dyDescent="0.2">
      <c r="B26" t="s">
        <v>38</v>
      </c>
    </row>
    <row r="27" spans="1:14" x14ac:dyDescent="0.2">
      <c r="A27" s="4" t="s">
        <v>33</v>
      </c>
      <c r="B27" s="4" t="s">
        <v>40</v>
      </c>
      <c r="C27" s="4" t="s">
        <v>41</v>
      </c>
      <c r="D27" s="4" t="s">
        <v>42</v>
      </c>
      <c r="E27" s="4" t="s">
        <v>40</v>
      </c>
      <c r="F27" s="4" t="s">
        <v>41</v>
      </c>
      <c r="G27" s="4" t="s">
        <v>42</v>
      </c>
      <c r="I27" s="4" t="s">
        <v>40</v>
      </c>
      <c r="J27" s="4" t="s">
        <v>41</v>
      </c>
      <c r="K27" s="4" t="s">
        <v>42</v>
      </c>
      <c r="L27" s="4" t="s">
        <v>40</v>
      </c>
      <c r="M27" s="4" t="s">
        <v>41</v>
      </c>
      <c r="N27" s="4" t="s">
        <v>42</v>
      </c>
    </row>
    <row r="28" spans="1:14" x14ac:dyDescent="0.2">
      <c r="A28" s="4" t="s">
        <v>47</v>
      </c>
      <c r="B28">
        <v>0.38350000977516174</v>
      </c>
      <c r="C28">
        <v>0.89410001039505005</v>
      </c>
      <c r="D28">
        <v>0.17260000109672546</v>
      </c>
      <c r="E28">
        <v>0.43979999423027039</v>
      </c>
      <c r="F28">
        <v>0.91390001773834229</v>
      </c>
      <c r="G28">
        <v>0.16680000722408295</v>
      </c>
      <c r="I28">
        <f>B28-(B29+E29)/2</f>
        <v>0.26655001193284988</v>
      </c>
      <c r="J28">
        <f>C28-(C29+F29)/2</f>
        <v>0.77135000750422478</v>
      </c>
      <c r="K28">
        <f>D28-(D29+G29)/2</f>
        <v>6.1300002038478851E-2</v>
      </c>
      <c r="L28">
        <f>E28-(E29+H29)/2</f>
        <v>0.38284999504685402</v>
      </c>
      <c r="M28">
        <f>F28-(F29+I29)/2</f>
        <v>0.85067501664161682</v>
      </c>
      <c r="N28">
        <f>G28-(G29+J29)/2</f>
        <v>0.11472500674426556</v>
      </c>
    </row>
    <row r="29" spans="1:14" x14ac:dyDescent="0.2">
      <c r="A29" s="4" t="s">
        <v>48</v>
      </c>
      <c r="B29">
        <v>0.11999999731779099</v>
      </c>
      <c r="C29">
        <v>0.12210000306367874</v>
      </c>
      <c r="D29">
        <v>0.11779999732971191</v>
      </c>
      <c r="E29">
        <v>0.11389999836683273</v>
      </c>
      <c r="F29">
        <v>0.1234000027179718</v>
      </c>
      <c r="G29">
        <v>0.10480000078678131</v>
      </c>
      <c r="I29">
        <f>B29-(B29+E29)/2</f>
        <v>3.049999475479126E-3</v>
      </c>
      <c r="J29">
        <f t="shared" ref="J29:N29" si="0">C29-(C29+F29)/2</f>
        <v>-6.4999982714653015E-4</v>
      </c>
      <c r="K29">
        <f t="shared" si="0"/>
        <v>6.4999982714653015E-3</v>
      </c>
      <c r="L29">
        <f t="shared" si="0"/>
        <v>5.6949999183416367E-2</v>
      </c>
      <c r="M29">
        <f t="shared" si="0"/>
        <v>6.0175001621246338E-2</v>
      </c>
      <c r="N29">
        <f t="shared" si="0"/>
        <v>5.2725000306963921E-2</v>
      </c>
    </row>
    <row r="30" spans="1:14" x14ac:dyDescent="0.2">
      <c r="A30" s="4" t="s">
        <v>49</v>
      </c>
      <c r="B30">
        <v>0.22190000116825104</v>
      </c>
      <c r="C30">
        <v>0.34400001168251038</v>
      </c>
      <c r="D30">
        <v>0.16990000009536743</v>
      </c>
      <c r="E30">
        <v>0.18999999761581421</v>
      </c>
      <c r="F30">
        <v>0.3075999915599823</v>
      </c>
      <c r="G30">
        <v>0.17020000517368317</v>
      </c>
      <c r="I30">
        <f>B30-(B29+E29)/2</f>
        <v>0.10495000332593918</v>
      </c>
      <c r="J30">
        <f t="shared" ref="J30:N30" si="1">C30-(C29+F29)/2</f>
        <v>0.2212500087916851</v>
      </c>
      <c r="K30">
        <f t="shared" si="1"/>
        <v>5.8600001037120819E-2</v>
      </c>
      <c r="L30">
        <f t="shared" si="1"/>
        <v>0.13304999843239784</v>
      </c>
      <c r="M30">
        <f t="shared" si="1"/>
        <v>0.24437499046325684</v>
      </c>
      <c r="N30">
        <f t="shared" si="1"/>
        <v>0.11812500469386578</v>
      </c>
    </row>
    <row r="31" spans="1:14" x14ac:dyDescent="0.2">
      <c r="A31" s="4" t="s">
        <v>50</v>
      </c>
      <c r="B31">
        <v>0.15710000693798065</v>
      </c>
      <c r="C31">
        <v>0.19720000028610229</v>
      </c>
      <c r="D31">
        <v>0.14880000054836273</v>
      </c>
      <c r="E31">
        <v>0.16269999742507935</v>
      </c>
      <c r="F31">
        <v>0.19750000536441803</v>
      </c>
      <c r="G31">
        <v>0.13099999725818634</v>
      </c>
      <c r="I31">
        <f>B31-(B29+E29)/2</f>
        <v>4.0150009095668793E-2</v>
      </c>
      <c r="J31">
        <f t="shared" ref="J31:N31" si="2">C31-(C29+F29)/2</f>
        <v>7.4449997395277023E-2</v>
      </c>
      <c r="K31">
        <f t="shared" si="2"/>
        <v>3.7500001490116119E-2</v>
      </c>
      <c r="L31">
        <f t="shared" si="2"/>
        <v>0.10574999824166298</v>
      </c>
      <c r="M31">
        <f t="shared" si="2"/>
        <v>0.13427500426769257</v>
      </c>
      <c r="N31">
        <f t="shared" si="2"/>
        <v>7.892499677836895E-2</v>
      </c>
    </row>
    <row r="33" spans="1:13" x14ac:dyDescent="0.2">
      <c r="H33" s="4" t="s">
        <v>51</v>
      </c>
      <c r="I33" s="4" t="s">
        <v>40</v>
      </c>
      <c r="J33" s="4" t="s">
        <v>41</v>
      </c>
      <c r="K33" s="4" t="s">
        <v>42</v>
      </c>
      <c r="L33" s="5"/>
      <c r="M33" s="5"/>
    </row>
    <row r="34" spans="1:13" x14ac:dyDescent="0.2">
      <c r="H34" s="4" t="s">
        <v>47</v>
      </c>
      <c r="I34">
        <f>(I28+L28)/2</f>
        <v>0.32470000348985195</v>
      </c>
      <c r="J34">
        <f t="shared" ref="J34:K37" si="3">(J28+M28)/2</f>
        <v>0.8110125120729208</v>
      </c>
      <c r="K34">
        <f t="shared" si="3"/>
        <v>8.8012504391372204E-2</v>
      </c>
    </row>
    <row r="35" spans="1:13" x14ac:dyDescent="0.2">
      <c r="H35" s="4" t="s">
        <v>48</v>
      </c>
      <c r="I35">
        <f t="shared" ref="I35:I37" si="4">(I29+L29)/2</f>
        <v>2.9999999329447746E-2</v>
      </c>
      <c r="J35">
        <f t="shared" si="3"/>
        <v>2.9762500897049904E-2</v>
      </c>
      <c r="K35">
        <f t="shared" si="3"/>
        <v>2.9612499289214611E-2</v>
      </c>
    </row>
    <row r="36" spans="1:13" x14ac:dyDescent="0.2">
      <c r="A36" t="s">
        <v>34</v>
      </c>
      <c r="B36" s="2" t="s">
        <v>39</v>
      </c>
      <c r="H36" s="4" t="s">
        <v>49</v>
      </c>
      <c r="I36">
        <f t="shared" si="4"/>
        <v>0.11900000087916851</v>
      </c>
      <c r="J36">
        <f t="shared" si="3"/>
        <v>0.23281249962747097</v>
      </c>
      <c r="K36">
        <f t="shared" si="3"/>
        <v>8.8362502865493298E-2</v>
      </c>
    </row>
    <row r="37" spans="1:13" x14ac:dyDescent="0.2">
      <c r="H37" s="4" t="s">
        <v>50</v>
      </c>
      <c r="I37">
        <f t="shared" si="4"/>
        <v>7.2950003668665886E-2</v>
      </c>
      <c r="J37">
        <f t="shared" si="3"/>
        <v>0.10436250083148479</v>
      </c>
      <c r="K37">
        <f t="shared" si="3"/>
        <v>5.8212499134242535E-2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8FED-68DF-46E3-AFF1-4152C6E48B44}">
  <dimension ref="A1:O38"/>
  <sheetViews>
    <sheetView topLeftCell="A10" workbookViewId="0">
      <selection activeCell="I34" sqref="I34:L38"/>
    </sheetView>
  </sheetViews>
  <sheetFormatPr baseColWidth="10" defaultColWidth="8.83203125" defaultRowHeight="15" x14ac:dyDescent="0.2"/>
  <cols>
    <col min="9" max="9" width="11.83203125" bestFit="1" customWidth="1"/>
  </cols>
  <sheetData>
    <row r="1" spans="1:13" x14ac:dyDescent="0.2">
      <c r="A1" t="s">
        <v>0</v>
      </c>
      <c r="E1" t="s">
        <v>1</v>
      </c>
    </row>
    <row r="2" spans="1:13" x14ac:dyDescent="0.2">
      <c r="A2" t="s">
        <v>2</v>
      </c>
      <c r="E2" t="s">
        <v>3</v>
      </c>
      <c r="J2" t="s">
        <v>4</v>
      </c>
    </row>
    <row r="3" spans="1:13" x14ac:dyDescent="0.2">
      <c r="A3" t="s">
        <v>5</v>
      </c>
      <c r="E3" t="s">
        <v>6</v>
      </c>
    </row>
    <row r="5" spans="1:13" x14ac:dyDescent="0.2">
      <c r="A5" t="s">
        <v>7</v>
      </c>
      <c r="B5" s="1">
        <v>45677</v>
      </c>
    </row>
    <row r="6" spans="1:13" x14ac:dyDescent="0.2">
      <c r="A6" t="s">
        <v>8</v>
      </c>
      <c r="B6" s="2" t="s">
        <v>9</v>
      </c>
    </row>
    <row r="9" spans="1:13" x14ac:dyDescent="0.2">
      <c r="A9" t="s">
        <v>10</v>
      </c>
      <c r="E9" t="s">
        <v>11</v>
      </c>
    </row>
    <row r="10" spans="1:13" x14ac:dyDescent="0.2">
      <c r="A10" t="s">
        <v>12</v>
      </c>
      <c r="E10" t="s">
        <v>13</v>
      </c>
    </row>
    <row r="11" spans="1:13" x14ac:dyDescent="0.2">
      <c r="A11" t="s">
        <v>14</v>
      </c>
      <c r="E11" t="s">
        <v>15</v>
      </c>
    </row>
    <row r="12" spans="1:13" x14ac:dyDescent="0.2">
      <c r="A12" t="s">
        <v>16</v>
      </c>
    </row>
    <row r="14" spans="1:13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  <c r="M14" s="3"/>
    </row>
    <row r="15" spans="1:13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  <c r="M15" s="3"/>
    </row>
    <row r="18" spans="1:15" x14ac:dyDescent="0.2">
      <c r="A18" t="s">
        <v>21</v>
      </c>
    </row>
    <row r="19" spans="1:15" x14ac:dyDescent="0.2">
      <c r="A19" t="s">
        <v>22</v>
      </c>
      <c r="E19" t="s">
        <v>23</v>
      </c>
    </row>
    <row r="20" spans="1:15" x14ac:dyDescent="0.2">
      <c r="A20" t="s">
        <v>24</v>
      </c>
      <c r="E20">
        <v>600</v>
      </c>
      <c r="F20" t="s">
        <v>25</v>
      </c>
    </row>
    <row r="21" spans="1:15" x14ac:dyDescent="0.2">
      <c r="A21" t="s">
        <v>26</v>
      </c>
      <c r="E21">
        <v>9</v>
      </c>
      <c r="F21" t="s">
        <v>25</v>
      </c>
    </row>
    <row r="22" spans="1:15" x14ac:dyDescent="0.2">
      <c r="A22" t="s">
        <v>27</v>
      </c>
      <c r="E22">
        <v>25</v>
      </c>
    </row>
    <row r="23" spans="1:15" x14ac:dyDescent="0.2">
      <c r="A23" t="s">
        <v>28</v>
      </c>
      <c r="E23">
        <v>0</v>
      </c>
      <c r="F23" t="s">
        <v>29</v>
      </c>
    </row>
    <row r="24" spans="1:15" x14ac:dyDescent="0.2">
      <c r="A24" t="s">
        <v>30</v>
      </c>
      <c r="B24" s="2" t="s">
        <v>31</v>
      </c>
    </row>
    <row r="26" spans="1:15" x14ac:dyDescent="0.2">
      <c r="B26" t="s">
        <v>32</v>
      </c>
    </row>
    <row r="27" spans="1:15" x14ac:dyDescent="0.2">
      <c r="A27" s="4" t="s">
        <v>33</v>
      </c>
      <c r="B27" s="4" t="s">
        <v>40</v>
      </c>
      <c r="C27" s="4" t="s">
        <v>41</v>
      </c>
      <c r="D27" s="4" t="s">
        <v>42</v>
      </c>
      <c r="E27" s="4" t="s">
        <v>40</v>
      </c>
      <c r="F27" s="4" t="s">
        <v>41</v>
      </c>
      <c r="G27" s="4" t="s">
        <v>42</v>
      </c>
      <c r="H27" s="5"/>
      <c r="J27" s="4" t="s">
        <v>40</v>
      </c>
      <c r="K27" s="4" t="s">
        <v>41</v>
      </c>
      <c r="L27" s="4" t="s">
        <v>42</v>
      </c>
      <c r="M27" s="4" t="s">
        <v>40</v>
      </c>
      <c r="N27" s="4" t="s">
        <v>41</v>
      </c>
      <c r="O27" s="4" t="s">
        <v>42</v>
      </c>
    </row>
    <row r="28" spans="1:15" x14ac:dyDescent="0.2">
      <c r="A28" s="4" t="s">
        <v>43</v>
      </c>
      <c r="B28">
        <v>0.51740002632141113</v>
      </c>
      <c r="C28">
        <v>0.16339999437332153</v>
      </c>
      <c r="D28">
        <v>0.28139999508857727</v>
      </c>
      <c r="E28">
        <v>0.49200001358985901</v>
      </c>
      <c r="F28">
        <v>0.15620000660419464</v>
      </c>
      <c r="G28">
        <v>0.26579999923706055</v>
      </c>
      <c r="I28" s="4" t="s">
        <v>43</v>
      </c>
      <c r="J28">
        <f>B28-(Sheet3!B29+Sheet3!E29)/2</f>
        <v>0.40045002847909927</v>
      </c>
      <c r="K28">
        <f>C28-(Sheet3!C29+Sheet3!F29)/2</f>
        <v>4.0649991482496262E-2</v>
      </c>
      <c r="L28">
        <f>D28-(Sheet3!D29+Sheet3!G29)/2</f>
        <v>0.17009999603033066</v>
      </c>
      <c r="M28">
        <f>E28-(Sheet3!B29+Sheet3!E29)/2</f>
        <v>0.37505001574754715</v>
      </c>
      <c r="N28">
        <f>F28-(Sheet3!C29+Sheet3!F29)/2</f>
        <v>3.345000371336937E-2</v>
      </c>
      <c r="O28">
        <f>G28-(Sheet3!D29+Sheet3!G29)/2</f>
        <v>0.15450000017881393</v>
      </c>
    </row>
    <row r="29" spans="1:15" x14ac:dyDescent="0.2">
      <c r="A29" s="4" t="s">
        <v>44</v>
      </c>
      <c r="B29">
        <v>0.61419999599456787</v>
      </c>
      <c r="C29">
        <v>1.0752999782562256</v>
      </c>
      <c r="D29">
        <v>0.23340000212192535</v>
      </c>
      <c r="E29">
        <v>0.61299997568130493</v>
      </c>
      <c r="F29">
        <v>1.1123000383377075</v>
      </c>
      <c r="G29">
        <v>0.26469999551773071</v>
      </c>
      <c r="I29" s="4" t="s">
        <v>44</v>
      </c>
      <c r="J29">
        <f>B29-(Sheet3!B29+Sheet3!E29)/2</f>
        <v>0.49724999815225601</v>
      </c>
      <c r="K29">
        <f>C29-(Sheet3!C29+Sheet3!F29)/2</f>
        <v>0.95254997536540031</v>
      </c>
      <c r="L29">
        <f>D29-(Sheet3!D29+Sheet3!G29)/2</f>
        <v>0.12210000306367874</v>
      </c>
      <c r="M29">
        <f>E29-(Sheet3!B29+Sheet3!E29)/2</f>
        <v>0.49604997783899307</v>
      </c>
      <c r="N29">
        <f>F29-(Sheet3!C29+Sheet3!F29)/2</f>
        <v>0.98955003544688225</v>
      </c>
      <c r="O29">
        <f>G29-(Sheet3!D29+Sheet3!G29)/2</f>
        <v>0.1533999964594841</v>
      </c>
    </row>
    <row r="30" spans="1:15" x14ac:dyDescent="0.2">
      <c r="A30" s="4" t="s">
        <v>45</v>
      </c>
      <c r="B30">
        <v>0.68070000410079956</v>
      </c>
      <c r="C30">
        <v>1.3166999816894531</v>
      </c>
      <c r="D30">
        <v>0.22879999876022339</v>
      </c>
      <c r="E30">
        <v>0.64749997854232788</v>
      </c>
      <c r="F30">
        <v>1.2588000297546387</v>
      </c>
      <c r="G30">
        <v>0.22470000386238098</v>
      </c>
      <c r="I30" s="4" t="s">
        <v>45</v>
      </c>
      <c r="J30">
        <f>B30-(Sheet3!B29+Sheet3!E29)/2</f>
        <v>0.5637500062584877</v>
      </c>
      <c r="K30">
        <f>C30-(Sheet3!C29+Sheet3!F29)/2</f>
        <v>1.1939499787986279</v>
      </c>
      <c r="L30">
        <f>D30-(Sheet3!D29+Sheet3!G29)/2</f>
        <v>0.11749999970197678</v>
      </c>
      <c r="M30">
        <f>E30-(Sheet3!B29+Sheet3!E29)/2</f>
        <v>0.53054998070001602</v>
      </c>
      <c r="N30">
        <f>F30-(Sheet3!C29+Sheet3!F29)/2</f>
        <v>1.1360500268638134</v>
      </c>
      <c r="O30">
        <f>G30-(Sheet3!D29+Sheet3!G29)/2</f>
        <v>0.11340000480413437</v>
      </c>
    </row>
    <row r="31" spans="1:15" x14ac:dyDescent="0.2">
      <c r="A31" s="4" t="s">
        <v>46</v>
      </c>
      <c r="B31">
        <v>0.27459999918937683</v>
      </c>
      <c r="C31">
        <v>0.71880000829696655</v>
      </c>
      <c r="D31">
        <v>0.14859999716281891</v>
      </c>
      <c r="E31">
        <v>0.27320000529289246</v>
      </c>
      <c r="F31">
        <v>0.71560001373291016</v>
      </c>
      <c r="G31">
        <v>0.1193000003695488</v>
      </c>
      <c r="I31" s="4" t="s">
        <v>46</v>
      </c>
      <c r="J31">
        <f>B31-(Sheet3!B29+Sheet3!E29)/2</f>
        <v>0.15765000134706497</v>
      </c>
      <c r="K31">
        <f>C31-(Sheet3!C29+Sheet3!F29)/2</f>
        <v>0.59605000540614128</v>
      </c>
      <c r="L31">
        <f>D31-(Sheet3!D29+Sheet3!G29)/2</f>
        <v>3.7299998104572296E-2</v>
      </c>
      <c r="M31">
        <f>E31-(Sheet3!B29+Sheet3!E29)/2</f>
        <v>0.1562500074505806</v>
      </c>
      <c r="N31">
        <f>F31-(Sheet3!C29+Sheet3!F29)/2</f>
        <v>0.59285001084208488</v>
      </c>
      <c r="O31">
        <f>G31-(Sheet3!D29+Sheet3!G29)/2</f>
        <v>8.0000013113021851E-3</v>
      </c>
    </row>
    <row r="32" spans="1:15" x14ac:dyDescent="0.2">
      <c r="A32" s="4"/>
      <c r="I32" s="5"/>
    </row>
    <row r="33" spans="1:15" x14ac:dyDescent="0.2">
      <c r="M33" s="5"/>
      <c r="N33" s="5"/>
      <c r="O33" s="5"/>
    </row>
    <row r="34" spans="1:15" x14ac:dyDescent="0.2">
      <c r="I34" s="4" t="s">
        <v>51</v>
      </c>
      <c r="J34" s="4" t="s">
        <v>40</v>
      </c>
      <c r="K34" s="4" t="s">
        <v>41</v>
      </c>
      <c r="L34" s="4" t="s">
        <v>42</v>
      </c>
    </row>
    <row r="35" spans="1:15" x14ac:dyDescent="0.2">
      <c r="I35" s="4" t="s">
        <v>43</v>
      </c>
      <c r="J35">
        <f>(J28+M28)/2</f>
        <v>0.38775002211332321</v>
      </c>
      <c r="K35">
        <f>(K28+N28)/2</f>
        <v>3.7049997597932816E-2</v>
      </c>
      <c r="L35">
        <f t="shared" ref="K35:L38" si="0">(L28+O28)/2</f>
        <v>0.1622999981045723</v>
      </c>
    </row>
    <row r="36" spans="1:15" x14ac:dyDescent="0.2">
      <c r="I36" s="4" t="s">
        <v>44</v>
      </c>
      <c r="J36">
        <f t="shared" ref="J36:J38" si="1">(J29+M29)/2</f>
        <v>0.49664998799562454</v>
      </c>
      <c r="K36">
        <f t="shared" si="0"/>
        <v>0.97105000540614128</v>
      </c>
      <c r="L36">
        <f t="shared" si="0"/>
        <v>0.13774999976158142</v>
      </c>
    </row>
    <row r="37" spans="1:15" x14ac:dyDescent="0.2">
      <c r="A37" t="s">
        <v>34</v>
      </c>
      <c r="B37" s="2" t="s">
        <v>35</v>
      </c>
      <c r="I37" s="4" t="s">
        <v>45</v>
      </c>
      <c r="J37">
        <f t="shared" si="1"/>
        <v>0.54714999347925186</v>
      </c>
      <c r="K37">
        <f t="shared" si="0"/>
        <v>1.1650000028312206</v>
      </c>
      <c r="L37">
        <f t="shared" si="0"/>
        <v>0.11545000225305557</v>
      </c>
    </row>
    <row r="38" spans="1:15" x14ac:dyDescent="0.2">
      <c r="I38" s="4" t="s">
        <v>46</v>
      </c>
      <c r="J38">
        <f t="shared" si="1"/>
        <v>0.15695000439882278</v>
      </c>
      <c r="K38">
        <f t="shared" si="0"/>
        <v>0.59445000812411308</v>
      </c>
      <c r="L38">
        <f t="shared" si="0"/>
        <v>2.2649999707937241E-2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789F-51BA-4B81-BF5F-BBDC3BE77EE8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Microsoft Office User</cp:lastModifiedBy>
  <dcterms:created xsi:type="dcterms:W3CDTF">2025-01-20T16:37:53Z</dcterms:created>
  <dcterms:modified xsi:type="dcterms:W3CDTF">2025-01-21T17:31:49Z</dcterms:modified>
</cp:coreProperties>
</file>