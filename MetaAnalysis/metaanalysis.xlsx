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z5vy/Desktop/PapinLab/Probiotics/BV_UVA/"/>
    </mc:Choice>
  </mc:AlternateContent>
  <xr:revisionPtr revIDLastSave="0" documentId="8_{C70C5F99-FBC0-3D4A-B322-C72843F8678F}" xr6:coauthVersionLast="47" xr6:coauthVersionMax="47" xr10:uidLastSave="{00000000-0000-0000-0000-000000000000}"/>
  <bookViews>
    <workbookView xWindow="0" yWindow="760" windowWidth="30240" windowHeight="17820" activeTab="3" xr2:uid="{04E10446-F3CA-EC4F-9A94-A10890A8E213}"/>
  </bookViews>
  <sheets>
    <sheet name="Sheet2" sheetId="2" r:id="rId1"/>
    <sheet name="Sheet3" sheetId="3" r:id="rId2"/>
    <sheet name="Sheet4" sheetId="4" r:id="rId3"/>
    <sheet name="Sheet1" sheetId="1" r:id="rId4"/>
  </sheets>
  <definedNames>
    <definedName name="_xlchart.v1.0" hidden="1">Sheet1!$O$2</definedName>
    <definedName name="_xlchart.v1.1" hidden="1">Sheet1!$O$3:$O$8</definedName>
    <definedName name="_xlchart.v1.10" hidden="1">Sheet1!$P$2</definedName>
    <definedName name="_xlchart.v1.11" hidden="1">Sheet1!$P$3:$P$8</definedName>
    <definedName name="_xlchart.v1.12" hidden="1">Sheet1!$O$2</definedName>
    <definedName name="_xlchart.v1.13" hidden="1">Sheet1!$O$3:$O$16</definedName>
    <definedName name="_xlchart.v1.14" hidden="1">Sheet1!$O$3:$O$8</definedName>
    <definedName name="_xlchart.v1.15" hidden="1">Sheet1!$P$2</definedName>
    <definedName name="_xlchart.v1.16" hidden="1">Sheet1!$P$3:$P$15</definedName>
    <definedName name="_xlchart.v1.17" hidden="1">Sheet1!$P$3:$P$7</definedName>
    <definedName name="_xlchart.v1.18" hidden="1">Sheet1!$Q$2</definedName>
    <definedName name="_xlchart.v1.19" hidden="1">Sheet1!$Q$27</definedName>
    <definedName name="_xlchart.v1.2" hidden="1">Sheet1!$P$2</definedName>
    <definedName name="_xlchart.v1.20" hidden="1">Sheet1!$Q$3:$Q$16</definedName>
    <definedName name="_xlchart.v1.21" hidden="1">Sheet1!$Q$3:$Q$27</definedName>
    <definedName name="_xlchart.v1.22" hidden="1">Sheet1!$Q$3:$Q$8</definedName>
    <definedName name="_xlchart.v1.23" hidden="1">Sheet1!$R$2</definedName>
    <definedName name="_xlchart.v1.24" hidden="1">Sheet1!$R$3</definedName>
    <definedName name="_xlchart.v1.25" hidden="1">Sheet1!$R$3:$R$4</definedName>
    <definedName name="_xlchart.v1.26" hidden="1">Sheet1!$S$2</definedName>
    <definedName name="_xlchart.v1.27" hidden="1">Sheet1!$S$3:$S$9</definedName>
    <definedName name="_xlchart.v1.28" hidden="1">Sheet1!$O$2</definedName>
    <definedName name="_xlchart.v1.29" hidden="1">Sheet1!$O$3:$O$8</definedName>
    <definedName name="_xlchart.v1.3" hidden="1">Sheet1!$P$3:$P$8</definedName>
    <definedName name="_xlchart.v1.30" hidden="1">Sheet1!$P$2</definedName>
    <definedName name="_xlchart.v1.31" hidden="1">Sheet1!$P$3:$P$8</definedName>
    <definedName name="_xlchart.v1.32" hidden="1">Sheet1!$O$2</definedName>
    <definedName name="_xlchart.v1.33" hidden="1">Sheet1!$O$3:$O$8</definedName>
    <definedName name="_xlchart.v1.34" hidden="1">Sheet1!$P$2</definedName>
    <definedName name="_xlchart.v1.35" hidden="1">Sheet1!$P$3:$P$8</definedName>
    <definedName name="_xlchart.v1.36" hidden="1">Sheet1!$O$2</definedName>
    <definedName name="_xlchart.v1.37" hidden="1">Sheet1!$O$3:$O$16</definedName>
    <definedName name="_xlchart.v1.38" hidden="1">Sheet1!$O$3:$O$8</definedName>
    <definedName name="_xlchart.v1.39" hidden="1">Sheet1!$P$2</definedName>
    <definedName name="_xlchart.v1.4" hidden="1">Sheet1!$O$2</definedName>
    <definedName name="_xlchart.v1.40" hidden="1">Sheet1!$P$3:$P$15</definedName>
    <definedName name="_xlchart.v1.41" hidden="1">Sheet1!$P$3:$P$6</definedName>
    <definedName name="_xlchart.v1.42" hidden="1">Sheet1!$Q$2</definedName>
    <definedName name="_xlchart.v1.43" hidden="1">Sheet1!$Q$27</definedName>
    <definedName name="_xlchart.v1.44" hidden="1">Sheet1!$Q$3:$Q$16</definedName>
    <definedName name="_xlchart.v1.45" hidden="1">Sheet1!$Q$3:$Q$27</definedName>
    <definedName name="_xlchart.v1.46" hidden="1">Sheet1!$Q$3:$Q$8</definedName>
    <definedName name="_xlchart.v1.47" hidden="1">Sheet1!$R$2</definedName>
    <definedName name="_xlchart.v1.48" hidden="1">Sheet1!$R$3</definedName>
    <definedName name="_xlchart.v1.49" hidden="1">Sheet1!$R$3:$R$4</definedName>
    <definedName name="_xlchart.v1.5" hidden="1">Sheet1!$O$3:$O$8</definedName>
    <definedName name="_xlchart.v1.50" hidden="1">Sheet1!$S$2</definedName>
    <definedName name="_xlchart.v1.51" hidden="1">Sheet1!$S$3:$S$9</definedName>
    <definedName name="_xlchart.v1.52" hidden="1">Sheet1!$O$2</definedName>
    <definedName name="_xlchart.v1.53" hidden="1">Sheet1!$O$3:$O$16</definedName>
    <definedName name="_xlchart.v1.54" hidden="1">Sheet1!$O$3:$O$8</definedName>
    <definedName name="_xlchart.v1.55" hidden="1">Sheet1!$P$2</definedName>
    <definedName name="_xlchart.v1.56" hidden="1">Sheet1!$P$3:$P$15</definedName>
    <definedName name="_xlchart.v1.57" hidden="1">Sheet1!$P$3:$P$7</definedName>
    <definedName name="_xlchart.v1.58" hidden="1">Sheet1!$Q$2</definedName>
    <definedName name="_xlchart.v1.59" hidden="1">Sheet1!$Q$27</definedName>
    <definedName name="_xlchart.v1.6" hidden="1">Sheet1!$P$2</definedName>
    <definedName name="_xlchart.v1.60" hidden="1">Sheet1!$Q$3:$Q$16</definedName>
    <definedName name="_xlchart.v1.61" hidden="1">Sheet1!$Q$3:$Q$27</definedName>
    <definedName name="_xlchart.v1.62" hidden="1">Sheet1!$Q$3:$Q$8</definedName>
    <definedName name="_xlchart.v1.63" hidden="1">Sheet1!$R$2</definedName>
    <definedName name="_xlchart.v1.64" hidden="1">Sheet1!$R$3</definedName>
    <definedName name="_xlchart.v1.65" hidden="1">Sheet1!$R$3:$R$4</definedName>
    <definedName name="_xlchart.v1.66" hidden="1">Sheet1!$S$2</definedName>
    <definedName name="_xlchart.v1.67" hidden="1">Sheet1!$S$3:$S$9</definedName>
    <definedName name="_xlchart.v1.7" hidden="1">Sheet1!$P$3:$P$8</definedName>
    <definedName name="_xlchart.v1.8" hidden="1">Sheet1!$O$2</definedName>
    <definedName name="_xlchart.v1.9" hidden="1">Sheet1!$O$3:$O$8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<sst xmlns="http://schemas.openxmlformats.org/spreadsheetml/2006/main" count="241" uniqueCount="134">
  <si>
    <t>Fredricsson et. al</t>
  </si>
  <si>
    <t>Study Name</t>
  </si>
  <si>
    <t>Notes</t>
  </si>
  <si>
    <t>one of 14 cured of BV. Treatment group 5mL fermented milk product with Lactobacillus acidophilus (5x10^8 to 2x10^9 CFU/mL intravaginally twice daily for one week</t>
  </si>
  <si>
    <t>Intravaginal</t>
  </si>
  <si>
    <t>Intravaginal/Oral</t>
  </si>
  <si>
    <t xml:space="preserve">Hallen et. al. </t>
  </si>
  <si>
    <t>Outcome (BV -)</t>
  </si>
  <si>
    <t>Capsules of (H2O2-producing) L. acidophilus (10^8-10^9 CFU/capsule) intravaginally twice daily for 6 days (n=28)</t>
  </si>
  <si>
    <t xml:space="preserve">Neri et al. </t>
  </si>
  <si>
    <t>2 months post second treatment. Intravaginally 10-15 mL yoghurt with L. acidophilus (&gt;10^8/mL) twice daily for 7 days are repition after 1 week</t>
  </si>
  <si>
    <t xml:space="preserve">Parent et al. </t>
  </si>
  <si>
    <t>4 weeks after start of treatment. 1-2 vaginal tablets/day with 50mg of H2O2- producing L. acidophilus (&gt;10^7 CFU/tablet) and oestriol (0.03 mg/tablet) (Gynoflor) for 6 days (n-17)</t>
  </si>
  <si>
    <t>Shalev et al.</t>
  </si>
  <si>
    <t xml:space="preserve">Shalev et al. </t>
  </si>
  <si>
    <t>Oral</t>
  </si>
  <si>
    <t xml:space="preserve">After 2 mos. n=23, 150 ml/day yoghurt with L acidophilus for 2 months, no yogurt for next 2 months + 150 ml/day pasteurised yoghurt for the last 2 months </t>
  </si>
  <si>
    <t>after 2 mos. N=23. 150 ml/day pasteurised yoghurt for 2 months + no yogurt for the next 2 months + 150 mL/day yogurt with L. acidophilus for the last 2 months.</t>
  </si>
  <si>
    <t>Reid et al.</t>
  </si>
  <si>
    <t>3 groups. Group 1 (n=10): L. rhamnosus GR-1/ L. fermentum RC-14 8x10^8/day orally for 28 days Group 2 (n=12). L. rhamnosus GR-1/L.fermentum RC-14 1.6x10^9/day orally for 28 days. Group 3 (n=11) L. rhamnosus GR-1/L fermentum RC-14 6x10^9/day orally for 28 days GG 10^10/day for 28 days</t>
  </si>
  <si>
    <t xml:space="preserve">Reid et al. </t>
  </si>
  <si>
    <t>L rhamnosus GR-1 + L. fermentum RC-14 (&gt;10^9/strain/capsule viable) orally once-daily for 60 days (n=32)</t>
  </si>
  <si>
    <t>L. rhamnosum GR-1 and L. fermentum RC-14 (&gt;10^9 /capsule viable) orally once-daily for 60 days (n=29)</t>
  </si>
  <si>
    <t xml:space="preserve">Eriksson et al. </t>
  </si>
  <si>
    <t xml:space="preserve">Intravaginal </t>
  </si>
  <si>
    <t>Tampons with L. gasseri, L casei var. rhamnosus and L fermentum for &gt;5 days (n=91)</t>
  </si>
  <si>
    <t xml:space="preserve">Fredricsson et al. </t>
  </si>
  <si>
    <t xml:space="preserve">Metronidazole (standard of treatment) </t>
  </si>
  <si>
    <t>Larsson et al.</t>
  </si>
  <si>
    <t>Osazua et al.</t>
  </si>
  <si>
    <t>one  week course, examined after 30 days</t>
  </si>
  <si>
    <t xml:space="preserve">Verwijs et al. </t>
  </si>
  <si>
    <t>7 day treatement, examined 3 days post treatment</t>
  </si>
  <si>
    <t>Schewbke et al.</t>
  </si>
  <si>
    <t>Antibiotic</t>
  </si>
  <si>
    <t>Paavonen et al.</t>
  </si>
  <si>
    <t xml:space="preserve">Kurkinen et al. </t>
  </si>
  <si>
    <t>Sobel</t>
  </si>
  <si>
    <t>Thulkar</t>
  </si>
  <si>
    <t>Brandt</t>
  </si>
  <si>
    <t>Voorspoels</t>
  </si>
  <si>
    <t>Darwish</t>
  </si>
  <si>
    <t>Raja</t>
  </si>
  <si>
    <t xml:space="preserve">Oral </t>
  </si>
  <si>
    <t>Kekki</t>
  </si>
  <si>
    <t>Vujic</t>
  </si>
  <si>
    <t>Probiotic (Lactobacillus GR-1 and lactobacillus reuteri RC-14)  once per day over 6 weeks (capsule)  6 and 12 weeks after  study were swabbed</t>
  </si>
  <si>
    <t>Mastromarino</t>
  </si>
  <si>
    <t>one  tablet daily for 7 days at bedtime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</si>
  <si>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</si>
  <si>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</si>
  <si>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</si>
  <si>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</si>
  <si>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</si>
  <si>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</si>
  <si>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</si>
  <si>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</si>
  <si>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</si>
  <si>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</si>
  <si>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</si>
  <si>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</si>
  <si>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</si>
  <si>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</si>
  <si>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</si>
  <si>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</si>
  <si>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</si>
  <si>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</si>
  <si>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</si>
  <si>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</si>
  <si>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</si>
  <si>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t-Test: Two-Sample Assuming Equal Variances</t>
  </si>
  <si>
    <t>Variable 1</t>
  </si>
  <si>
    <t>Variable 2</t>
  </si>
  <si>
    <t>Mean</t>
  </si>
  <si>
    <t>Observations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</si>
  <si>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</si>
  <si>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</si>
  <si>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</si>
  <si>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</si>
  <si>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</si>
  <si>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</si>
  <si>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</si>
  <si>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Ling et al.</t>
  </si>
  <si>
    <t xml:space="preserve">Ling et al. </t>
  </si>
  <si>
    <t>https://link.springer.com/article/10.1007/s00248-012-0154-3</t>
  </si>
  <si>
    <t>https://bmcwomenshealth.biomedcentral.com/articles/10.1186/1472-6874-8-3</t>
  </si>
  <si>
    <t>Combination (intravaginal)</t>
  </si>
  <si>
    <t xml:space="preserve">combination treatment, clindamycin cream for 7 days supplemented with lactobacillus capsules for 10 days (10^8/9  CFU). Lactobacillus treatment continued for 10 days after each menstrual cycle. (l gasseri and l rhamnosus) Cure was decided after 6 menstrual cycles. </t>
  </si>
  <si>
    <t>combination treatment, clindamycin cream for 7 days supplemented with lactobacillus capsules for 10 days (10^8/9  CFU). Lactobacillus treatment continued for 10 days after each menstrual cycle. (l gasseri and l rhamnosus) Cure was decided after 6 menstrual cycles.</t>
  </si>
  <si>
    <t xml:space="preserve"> lactobacillus delbrueckii intravaginally; follow-up after 30 days. Metronidazole as control</t>
  </si>
  <si>
    <t>Martinez et al.</t>
  </si>
  <si>
    <t xml:space="preserve">tinidazole + 2 capsules of l rhamnosus gr1 + l reuteri RC-14 every morning for 4 weeks.  Assess cure after 28 days. </t>
  </si>
  <si>
    <t>https://cdnsciencepub.com/doi/10.1139/W08-102</t>
  </si>
  <si>
    <t>tinidazole</t>
  </si>
  <si>
    <t>Clindamycin + lactobacilli tampons (l fermentum, l casei, l gasseri). Cure rate recorded after second menstruation</t>
  </si>
  <si>
    <t>Eriksson, et al. 2005</t>
  </si>
  <si>
    <t>https://medicaljournalssweden.se/actadv/article/view/13488/17231</t>
  </si>
  <si>
    <t>Eriksson et al. 2005</t>
  </si>
  <si>
    <t>Clindamycin</t>
  </si>
  <si>
    <t>Larsson et al., 2011</t>
  </si>
  <si>
    <t xml:space="preserve">7 day course of vaginal clindamycin + oral clindamycin for 7 days. After antibiotic, 10^8/9 lactobacilli for 5 days. Cure examined after6 months. </t>
  </si>
  <si>
    <t>https://bmcinfectdis.biomedcentral.com/articles/10.1186/1471-2334-11-223</t>
  </si>
  <si>
    <t xml:space="preserve">probiotic Yogurt (100 g twice daily for one week) vs clindamycin (300 mg twice per day for one week). </t>
  </si>
  <si>
    <t>Hantoushzadeh et al, 2012</t>
  </si>
  <si>
    <t>https://www.tandfonline.com/doi/full/10.3109/14767058.2011.614654</t>
  </si>
  <si>
    <t>Kovachev et al, 2013</t>
  </si>
  <si>
    <t xml:space="preserve">tinidazole for 2 days + vaginal suppositories of 1000mg metronidazole at day 1/3 + vaginal topical probiotic containing lactobacilus acidophilus, lactobacillus rhamnosus. Assess after 35-40 days </t>
  </si>
  <si>
    <t xml:space="preserve">tinidazole for 2 days + vaginal suppositories of 1000mg metronidazole at day 1/3. Assess after 35-40 days </t>
  </si>
  <si>
    <t>https://pubmed.ncbi.nlm.nih.gov/24283058/</t>
  </si>
  <si>
    <t xml:space="preserve">2 dried capsules of l rhamnosus GR-1 and lactobacillus reuteri RC-14 each night for 5 days. Follow up at 6,15, and 30 days. </t>
  </si>
  <si>
    <t>Anukam et al, 2006</t>
  </si>
  <si>
    <t>https://www.sciencedirect.com/science/article/pii/S1286457906003030?via%3Dihub</t>
  </si>
  <si>
    <t>Metronidazole + vaginal clindamycin (vaginal clindamycin used vaginally for 7 days). 400 mg oral metronidazole twice daily for 7 days. 6 moth follow up</t>
  </si>
  <si>
    <t>Metronidazole + vaginal probiotic (probiotic administered nightly for 12 nights). 10^7 CFU l acidophilus. 6 month follow up</t>
  </si>
  <si>
    <t>Oral metranidazole + vaginal placebo. 6 month follow up</t>
  </si>
  <si>
    <t>Bradshaw et al, 2012</t>
  </si>
  <si>
    <t>https://journals.plos.org/plosone/article/file?id=10.1371/journal.pone.0034540&amp;type=printable</t>
  </si>
  <si>
    <t xml:space="preserve">Oral metronidazole 500 mg twice daily for 7 days </t>
  </si>
  <si>
    <t>Combination (oral)</t>
  </si>
  <si>
    <t>Oral metronidazole 500mg twice daily for 7 days and then L reuteri + L rhamnosus  orally (10^9 CFU)</t>
  </si>
  <si>
    <t>https://pdf.sciencedirectassets.com/272114/1-s2.0-S1286457906X0103X/1-s2.0-S128645790600058X/main.pdf?X-Amz-Security-Token=IQoJb3JpZ2luX2VjEDcaCXVzLWVhc3QtMSJGMEQCICMJ0y8TWAQrCYlIQyCFMLXBwd9BMs%2B16icCOFMLOnQUAiB8hPxnRujDx1bggRlQW1Ddtb%2Fg11BxY%2Ba%2FRIHvCFwh3Cq7BQjA%2F%2F%2F%2F%2F%2F%2F%2F%2F%2F8BEAUaDDA1OTAwMzU0Njg2NSIMX3DzCF1iU2ILMzAKKo8FNaVP2LNEqfMO6OjzQq3hmybvDI91EmbL7Rxs9R3UfxesfCBTMRaaIZ9HLN2Fbk7lSpZYbDPQMx57lnRTVgVbs3cGKcqbe4tCTgTRelUXx79nmK9jTV9jGpMxal2lRGOUJUjm60IvLfrASDBdUNr%2B7k2QLRTpA95Ju%2Bds9YzZh%2BpHpVdfTXLxI9LzmrIUAtTQTVaR8nuvgQ0ojCNDsDLXnr0o%2Biu2sw6YdWRq8iR3ubfVNSV523eTWs2z0Hi8RJ3xM%2BpSymywRinhj5ppoLVOSMliA0w6MRT96cZaFzBHYQlD6mrqx9ZXwpnYfUZ1a4zGOZaxLM%2FwJn7flhR4XV9JHMPGtgHFHWhJcFV1iD%2F24STsBclxf%2FP6JjWtq6hMF4z7erKwfSJh043jjUBIUh9C2KzKofD0CjdiWVrJE9P8wSz7QVeUDwUDbDvlQW%2FYHalFlLC3puSP0Mhb%2FB%2F%2FMzeyaAAvWZhhN6N%2FmwiNQuql2DAUzEHbADTfEaHJuRXCt%2Bh%2BuIh54ycVOiOa%2Fs6KrasLZlIvolwMjAd5L1sr%2BsyMgQqfEmb0oVFG2%2Bzz%2F7u8QhP19vDNav7ZEaKRjKahkZZolwmCTtFZL0vJ2IBC7vNmfwopUMJRmB0RmLQxwzkouDZUazjvPyBsPmqDt5SpTfM40iNL%2F2lwjTV0BFNbhtc7pgx417ueqVZ7eWQ8HiWTE1AJRs%2FnKA9HwL10QccBhttB0jdTGxdXxWRy3UEbF0YoimjA0CCWqHe7vA9338mOYTTIufIVizvnf5hIx3XpzZyBEAGQHjftr%2BSqamKQueUDUzZtrpZXnqI8G9BoW4SksfjsISrktdXnUK2kwz5TqmoOgINUIi9utfhKufTUjV5fmDC494GzBjqyAa5BAhbgnyLsX35CY1MBd2xCtVh03uYJDQCmPaypXmNGno1JnQcqGaz8aAmHIeMnrC9sI2U1MA7mwuJA7HFIisO8dhi7mZDonpIIiSxOBiLha1%2BrXHwMHUnszlq8TJMrVFRcJyLjoPV974zty4l4SpW4feeu2Lk71iixATwRLVLbzogMYb3j10iNWxIMJMFDUyPI5Caghke6WqtP78TtbPp3SHDl9ZvUlsB2prtiKPfNZLE%3D&amp;X-Amz-Algorithm=AWS4-HMAC-SHA256&amp;X-Amz-Date=20240605T154728Z&amp;X-Amz-SignedHeaders=host&amp;X-Amz-Expires=300&amp;X-Amz-Credential=ASIAQ3PHCVTY4MWAJ3K4%2F20240605%2Fus-east-1%2Fs3%2Faws4_request&amp;X-Amz-Signature=e14f4946069eed103a1b8ffc52cd681119b1536f1b691e9fdb3eb6ce646f6475&amp;hash=7de37e2a4d4da6507fec92f48f4326e256f4a225365f233d08ff29a6ccc9ddf5&amp;host=68042c943591013ac2b2430a89b270f6af2c76d8dfd086a07176afe7c76c2c61&amp;pii=S128645790600058X&amp;tid=spdf-06edb9d6-abb4-4e19-828c-e4091c0155f6&amp;sid=6ad0a7133b860447d88b4b46df5b6bd02ef1gxrqa&amp;type=client&amp;tsoh=d3d3LnNjaWVuY2VkaXJlY3QuY29t&amp;ua=13135f5f065e52055254&amp;rr=88f14d233fcb72b9&amp;cc=us</t>
  </si>
  <si>
    <t>Sudha et al, 2011</t>
  </si>
  <si>
    <t>https://link.springer.com/article/10.1007/s12088-011-0233-z</t>
  </si>
  <si>
    <t>oral Ofloxacin 200-500mg once daily for 5 days + vaginal kimaxazol for 3 days + 2 capsules of 10^9 cfu bacillus coagulans ORAL. 90 days post treatment</t>
  </si>
  <si>
    <t>oral Ofloxacin 200-500mg once daily for 5 days + vaginal kimaxazol for 3 days. 90 days post treatment</t>
  </si>
  <si>
    <t xml:space="preserve">metronidazole 1g/7 days + vaginal capsules of lactobacillus crispatus once per day for 14 days over 4 menstrual cycles </t>
  </si>
  <si>
    <t>metronidazle 1g/7 days</t>
  </si>
  <si>
    <t>Bohbot et al,  2018</t>
  </si>
  <si>
    <t>Bohbot et al, 2018</t>
  </si>
  <si>
    <t>https://www.sciencedirect.com/science/article/abs/pii/S2468784717302441?via%3Dihub</t>
  </si>
  <si>
    <t>Combination (Intravaginal)</t>
  </si>
  <si>
    <t>Combination (Oral)</t>
  </si>
  <si>
    <t>Column 4</t>
  </si>
  <si>
    <t>Column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</si>
</sst>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2" fillId="0" borderId="0" xfId="1"/>
    <xf numFmtId="0" fontId="0" fillId="2" borderId="0" xfId="0" applyFill="1"/>
    <xf numFmtId="10" fontId="0" fillId="2" borderId="0" xfId="0" applyNumberFormat="1" applyFill="1"/>
    <xf numFmtId="0" fontId="0" fillId="2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BV Negative</a:t>
            </a:r>
            <a:r>
              <a:rPr lang="en-US" baseline="0"/>
              <a:t> Outcome after Treatment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Outcome (BV -)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45-ED45-B594-83B30E7574BC}"/>
              </c:ext>
            </c:extLst>
          </c:dPt>
          <c:dPt>
            <c:idx val="1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45-ED45-B594-83B30E7574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545-ED45-B594-83B30E7574BC}"/>
              </c:ext>
            </c:extLst>
          </c:dPt>
          <c:dPt>
            <c:idx val="1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545-ED45-B594-83B30E7574BC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545-ED45-B594-83B30E7574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545-ED45-B594-83B30E7574BC}"/>
              </c:ext>
            </c:extLst>
          </c:dPt>
          <c:dPt>
            <c:idx val="19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6545-ED45-B594-83B30E7574BC}"/>
              </c:ext>
            </c:extLst>
          </c:dPt>
          <c:dPt>
            <c:idx val="2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6545-ED45-B594-83B30E7574BC}"/>
              </c:ext>
            </c:extLst>
          </c:dPt>
          <c:cat>
            <c:strRef>
              <c:f>Sheet1!$A$2:$A$27</c:f>
              <c:strCache>
                <c:ptCount val="26"/>
                <c:pt idx="0">
                  <c:v>Anukam et al, 2006</c:v>
                </c:pt>
                <c:pt idx="1">
                  <c:v>Anukam et al, 2006</c:v>
                </c:pt>
                <c:pt idx="2">
                  <c:v>Anukam et al, 2006</c:v>
                </c:pt>
                <c:pt idx="3">
                  <c:v>Anukam et al, 2006</c:v>
                </c:pt>
                <c:pt idx="4">
                  <c:v>Bohbot et al,  2018</c:v>
                </c:pt>
                <c:pt idx="5">
                  <c:v>Bohbot et al, 2018</c:v>
                </c:pt>
                <c:pt idx="6">
                  <c:v>Bradshaw et al, 2012</c:v>
                </c:pt>
                <c:pt idx="7">
                  <c:v>Bradshaw et al, 2012</c:v>
                </c:pt>
                <c:pt idx="8">
                  <c:v>Bradshaw et al, 2012</c:v>
                </c:pt>
                <c:pt idx="9">
                  <c:v>Brandt</c:v>
                </c:pt>
                <c:pt idx="10">
                  <c:v>Darwish</c:v>
                </c:pt>
                <c:pt idx="11">
                  <c:v>Eriksson et al. </c:v>
                </c:pt>
                <c:pt idx="12">
                  <c:v>Eriksson et al. 2005</c:v>
                </c:pt>
                <c:pt idx="13">
                  <c:v>Eriksson, et al. 2005</c:v>
                </c:pt>
                <c:pt idx="14">
                  <c:v>Fredricsson et al. </c:v>
                </c:pt>
                <c:pt idx="15">
                  <c:v>Fredricsson et. al</c:v>
                </c:pt>
                <c:pt idx="16">
                  <c:v>Hallen et. al. </c:v>
                </c:pt>
                <c:pt idx="17">
                  <c:v>Hantoushzadeh et al, 2012</c:v>
                </c:pt>
                <c:pt idx="18">
                  <c:v>Hantoushzadeh et al, 2012</c:v>
                </c:pt>
                <c:pt idx="19">
                  <c:v>Kekki</c:v>
                </c:pt>
                <c:pt idx="20">
                  <c:v>Kovachev et al, 2013</c:v>
                </c:pt>
                <c:pt idx="21">
                  <c:v>Kovachev et al, 2013</c:v>
                </c:pt>
                <c:pt idx="22">
                  <c:v>Kurkinen et al. </c:v>
                </c:pt>
                <c:pt idx="23">
                  <c:v>Larsson et al.</c:v>
                </c:pt>
                <c:pt idx="24">
                  <c:v>Larsson et al.</c:v>
                </c:pt>
                <c:pt idx="25">
                  <c:v>Larsson et al., 2011</c:v>
                </c:pt>
              </c:strCache>
            </c:strRef>
          </c:cat>
          <c:val>
            <c:numRef>
              <c:f>Sheet1!$B$2:$B$27</c:f>
              <c:numCache>
                <c:formatCode>0%</c:formatCode>
                <c:ptCount val="26"/>
                <c:pt idx="0">
                  <c:v>0.88</c:v>
                </c:pt>
                <c:pt idx="1">
                  <c:v>0.44</c:v>
                </c:pt>
                <c:pt idx="2">
                  <c:v>0.70200000000000007</c:v>
                </c:pt>
                <c:pt idx="3">
                  <c:v>0.9</c:v>
                </c:pt>
                <c:pt idx="4" formatCode="0.00%">
                  <c:v>0.79500000000000004</c:v>
                </c:pt>
                <c:pt idx="5">
                  <c:v>0.59</c:v>
                </c:pt>
                <c:pt idx="6">
                  <c:v>0.7</c:v>
                </c:pt>
                <c:pt idx="7" formatCode="0.00%">
                  <c:v>0.72199999999999998</c:v>
                </c:pt>
                <c:pt idx="8" formatCode="0.00%">
                  <c:v>0.73299999999999998</c:v>
                </c:pt>
                <c:pt idx="9">
                  <c:v>0.91249999999999998</c:v>
                </c:pt>
                <c:pt idx="10">
                  <c:v>0.58329999999999993</c:v>
                </c:pt>
                <c:pt idx="11" formatCode="0.00%">
                  <c:v>0.54400000000000004</c:v>
                </c:pt>
                <c:pt idx="12">
                  <c:v>0.62</c:v>
                </c:pt>
                <c:pt idx="13">
                  <c:v>0.56000000000000005</c:v>
                </c:pt>
                <c:pt idx="14" formatCode="0.00%">
                  <c:v>0.92900000000000005</c:v>
                </c:pt>
                <c:pt idx="15" formatCode="0.00%">
                  <c:v>7.0999999999999994E-2</c:v>
                </c:pt>
                <c:pt idx="16">
                  <c:v>0.56999999999999995</c:v>
                </c:pt>
                <c:pt idx="17">
                  <c:v>0.93299999999999994</c:v>
                </c:pt>
                <c:pt idx="18">
                  <c:v>0.94</c:v>
                </c:pt>
                <c:pt idx="19">
                  <c:v>0.65769999999999995</c:v>
                </c:pt>
                <c:pt idx="20">
                  <c:v>0.84</c:v>
                </c:pt>
                <c:pt idx="21">
                  <c:v>0.42</c:v>
                </c:pt>
                <c:pt idx="22">
                  <c:v>0.87090000000000001</c:v>
                </c:pt>
                <c:pt idx="23" formatCode="0.00%">
                  <c:v>0.64900000000000002</c:v>
                </c:pt>
                <c:pt idx="24" formatCode="0.00%">
                  <c:v>0.46200000000000002</c:v>
                </c:pt>
                <c:pt idx="25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5-ED45-B594-83B30E757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27"/>
        <c:axId val="118826831"/>
        <c:axId val="1705557039"/>
      </c:barChart>
      <c:catAx>
        <c:axId val="11882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57039"/>
        <c:crosses val="autoZero"/>
        <c:auto val="1"/>
        <c:lblAlgn val="ctr"/>
        <c:lblOffset val="100"/>
        <c:noMultiLvlLbl val="0"/>
      </c:catAx>
      <c:valAx>
        <c:axId val="170555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2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_xlchart.v1.37</cx:f>
      </cx:numDim>
    </cx:data>
    <cx:data id="1">
      <cx:numDim type="val">
        <cx:f>_xlchart.v1.40</cx:f>
      </cx:numDim>
    </cx:data>
    <cx:data id="2">
      <cx:numDim type="val">
        <cx:f>_xlchart.v1.45</cx:f>
      </cx:numDim>
    </cx:data>
    <cx:data id="3">
      <cx:numDim type="val">
        <cx:f>_xlchart.v1.49</cx:f>
      </cx:numDim>
    </cx:data>
    <cx:data id="4">
      <cx:numDim type="val">
        <cx:f>_xlchart.v1.51</cx:f>
      </cx:numDim>
    </cx:data>
  </cx:chartData>
  <cx:chart>
    <cx:title pos="t" align="ctr" overlay="0">
      <cx:tx>
        <cx:txData>
          <cx:v/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endParaRPr lang="en-US" sz="14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title>
    <cx:plotArea>
      <cx:plotAreaRegion>
        <cx:series layoutId="boxWhisker" uniqueId="{1E8B34E2-3955-3E47-A2BC-2D3E93139867}">
          <cx:tx>
            <cx:txData>
              <cx:f>_xlchart.v1.36</cx:f>
              <cx:v>Oral</cx:v>
            </cx:txData>
          </cx:tx>
          <cx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tx1"/>
              </a:solidFill>
            </a:ln>
          </cx:spPr>
          <cx:dataId val="0"/>
          <cx:layoutPr>
            <cx:visibility meanLine="1" meanMarker="0" nonoutliers="0"/>
            <cx:statistics quartileMethod="exclusive"/>
          </cx:layoutPr>
        </cx:series>
        <cx:series layoutId="boxWhisker" uniqueId="{88F2C701-2B1F-D84D-97D2-A598D55E44BB}">
          <cx:tx>
            <cx:txData>
              <cx:f>_xlchart.v1.39</cx:f>
              <cx:v>Intravaginal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  <a:ln w="19050">
              <a:solidFill>
                <a:schemeClr val="tx1"/>
              </a:solidFill>
            </a:ln>
          </cx:spPr>
          <cx:dataId val="1"/>
          <cx:layoutPr>
            <cx:visibility meanLine="1" meanMarker="0" nonoutliers="0" outliers="1"/>
            <cx:statistics quartileMethod="exclusive"/>
          </cx:layoutPr>
        </cx:series>
        <cx:series layoutId="boxWhisker" uniqueId="{C7EBBCB3-D6BB-E34C-9CEF-CAC41E75C970}">
          <cx:tx>
            <cx:txData>
              <cx:f>_xlchart.v1.42</cx:f>
              <cx:v>Antibiotic</cx:v>
            </cx:txData>
          </cx:tx>
          <cx:spPr>
            <a:solidFill>
              <a:srgbClr val="C00000"/>
            </a:solidFill>
            <a:ln w="19050">
              <a:solidFill>
                <a:schemeClr val="tx1"/>
              </a:solidFill>
            </a:ln>
          </cx:spPr>
          <cx:dataId val="2"/>
          <cx:layoutPr>
            <cx:visibility meanLine="1" meanMarker="0" nonoutliers="0"/>
            <cx:statistics quartileMethod="exclusive"/>
          </cx:layoutPr>
        </cx:series>
        <cx:series layoutId="boxWhisker" uniqueId="{00000005-2E3D-4248-8E8E-00ED1F7CEBBB}">
          <cx:tx>
            <cx:txData>
              <cx:f>_xlchart.v1.47</cx:f>
              <cx:v>Combination (Oral)</cx:v>
            </cx:txData>
          </cx:tx>
          <cx:spPr>
            <a:solidFill>
              <a:srgbClr val="7030A0">
                <a:alpha val="34118"/>
              </a:srgbClr>
            </a:solidFill>
            <a:ln w="19050">
              <a:solidFill>
                <a:schemeClr val="tx1"/>
              </a:solidFill>
            </a:ln>
          </cx:spPr>
          <cx:dataId val="3"/>
          <cx:layoutPr>
            <cx:visibility meanMarker="0"/>
            <cx:statistics quartileMethod="exclusive"/>
          </cx:layoutPr>
        </cx:series>
        <cx:series layoutId="boxWhisker" uniqueId="{00000006-2E3D-4248-8E8E-00ED1F7CEBBB}">
          <cx:tx>
            <cx:txData>
              <cx:f>_xlchart.v1.50</cx:f>
              <cx:v>Combination (Intravaginal)</cx:v>
            </cx:txData>
          </cx:tx>
          <cx:spPr>
            <a:solidFill>
              <a:srgbClr val="7030A0">
                <a:alpha val="83922"/>
              </a:srgbClr>
            </a:solidFill>
            <a:ln w="19050">
              <a:solidFill>
                <a:schemeClr val="tx1"/>
              </a:solidFill>
            </a:ln>
          </cx:spPr>
          <cx:dataId val="4"/>
          <cx:layoutPr>
            <cx:visibility meanMarker="0" nonoutliers="0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Treatment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chemeClr val="tx1"/>
                  </a:solidFill>
                </a:defRPr>
              </a:pPr>
              <a:r>
                <a:rPr lang="en-US" sz="14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Treatment</a:t>
              </a:r>
            </a:p>
          </cx:txPr>
        </cx:title>
        <cx:tickLabels/>
      </cx:axis>
      <cx:axis id="1">
        <cx:valScaling max="1" min="0.34999999999999998"/>
        <cx:title>
          <cx:tx>
            <cx:txData>
              <cx:v>% of patients with no BV recurrance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400">
                  <a:solidFill>
                    <a:schemeClr val="tx1"/>
                  </a:solidFill>
                </a:defRPr>
              </a:pPr>
              <a:r>
                <a:rPr lang="en-US" sz="1400" b="0" i="0" u="none" strike="noStrike" baseline="0">
                  <a:solidFill>
                    <a:schemeClr val="tx1"/>
                  </a:solidFill>
                  <a:latin typeface="Aptos Narrow" panose="02110004020202020204"/>
                </a:rPr>
                <a:t>% of patients with no BV recurrance</a:t>
              </a:r>
            </a:p>
          </cx:txPr>
        </cx:title>
        <cx:majorGridlines/>
        <cx:tickLabels/>
      </cx:axis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/>
          </a:pPr>
          <a:endParaRPr lang="en-US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724693</xdr:colOff>
      <xdr:row>1</xdr:row>
      <xdr:rowOff>261938</xdr:rowOff>
    </xdr:from>
    <xdr:to>
      <xdr:col>12</xdr:col>
      <xdr:colOff>769144</xdr:colOff>
      <xdr:row>4</xdr:row>
      <xdr:rowOff>645319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9FA3DD-8539-9B5C-2F26-DF5C31A6E1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244475</xdr:colOff>
      <xdr:row>7</xdr:row>
      <xdr:rowOff>618067</xdr:rowOff>
    </xdr:from>
    <xdr:to>
      <xdr:col>13</xdr:col>
      <xdr:colOff>262467</xdr:colOff>
      <xdr:row>18</xdr:row>
      <xdr:rowOff>73379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34E2397-1A0F-ED3D-B526-CEC9AB0A8B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58075" y="4504267"/>
              <a:ext cx="6621992" cy="46369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bmcwomenshealth.biomedcentral.com/articles/10.1186/1472-6874-8-3" TargetMode="External"/><Relationship Id="rId1" Type="http://schemas.openxmlformats.org/officeDocument/2006/relationships/hyperlink" Target="https://bmcwomenshealth.biomedcentral.com/articles/10.1186/1472-6874-8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E9CE-19A4-6343-8B65-6C615E91CFF0}">
  <dimension ref="A1:G15"/>
  <sheetViews>
    <sheetView workbookViewId="0">
      <selection sqref="A1:G15"/>
    </sheetView>
  </sheetViews>
  <sheetFormatPr baseColWidth="10" defaultRowHeight="16" x14ac:dyDescent="0.2"/>
  <sheetData>
    <row r="1" spans="1:7" x14ac:dyDescent="0.2">
      <c r="A1" t="s">
        <v>49</v>
      </c>
    </row>
    <row r="3" spans="1:7" ht="17" thickBot="1" x14ac:dyDescent="0.25">
      <c r="A3" t="s">
        <v>50</v>
      </c>
    </row>
    <row r="4" spans="1:7" x14ac:dyDescent="0.2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</row>
    <row r="5" spans="1:7" x14ac:dyDescent="0.2">
      <c r="A5" s="4" t="s">
        <v>56</v>
      </c>
      <c r="B5" s="4">
        <v>7</v>
      </c>
      <c r="C5" s="4">
        <v>4.9391999999999996</v>
      </c>
      <c r="D5" s="4">
        <v>0.70559999999999989</v>
      </c>
      <c r="E5" s="4">
        <v>4.6172920000000062E-2</v>
      </c>
    </row>
    <row r="6" spans="1:7" x14ac:dyDescent="0.2">
      <c r="A6" s="4" t="s">
        <v>57</v>
      </c>
      <c r="B6" s="4">
        <v>6</v>
      </c>
      <c r="C6" s="4">
        <v>3.6015999999999999</v>
      </c>
      <c r="D6" s="4">
        <v>0.60026666666666662</v>
      </c>
      <c r="E6" s="4">
        <v>8.7912426666666738E-2</v>
      </c>
    </row>
    <row r="7" spans="1:7" ht="17" thickBot="1" x14ac:dyDescent="0.25">
      <c r="A7" s="5" t="s">
        <v>58</v>
      </c>
      <c r="B7" s="5">
        <v>14</v>
      </c>
      <c r="C7" s="5">
        <v>10.425799999999999</v>
      </c>
      <c r="D7" s="5">
        <v>0.74469999999999992</v>
      </c>
      <c r="E7" s="5">
        <v>2.6235512307692329E-2</v>
      </c>
    </row>
    <row r="10" spans="1:7" ht="17" thickBot="1" x14ac:dyDescent="0.25">
      <c r="A10" t="s">
        <v>59</v>
      </c>
    </row>
    <row r="11" spans="1:7" x14ac:dyDescent="0.2">
      <c r="A11" s="6" t="s">
        <v>60</v>
      </c>
      <c r="B11" s="6" t="s">
        <v>61</v>
      </c>
      <c r="C11" s="6" t="s">
        <v>62</v>
      </c>
      <c r="D11" s="6" t="s">
        <v>63</v>
      </c>
      <c r="E11" s="6" t="s">
        <v>64</v>
      </c>
      <c r="F11" s="6" t="s">
        <v>65</v>
      </c>
      <c r="G11" s="6" t="s">
        <v>66</v>
      </c>
    </row>
    <row r="12" spans="1:7" x14ac:dyDescent="0.2">
      <c r="A12" s="4" t="s">
        <v>67</v>
      </c>
      <c r="B12" s="4">
        <v>8.7708926666666631E-2</v>
      </c>
      <c r="C12" s="4">
        <v>2</v>
      </c>
      <c r="D12" s="4">
        <v>4.3854463333333316E-2</v>
      </c>
      <c r="E12" s="4">
        <v>0.99512680168182588</v>
      </c>
      <c r="F12" s="4">
        <v>0.38442240734822453</v>
      </c>
      <c r="G12" s="4">
        <v>3.4028261053501945</v>
      </c>
    </row>
    <row r="13" spans="1:7" x14ac:dyDescent="0.2">
      <c r="A13" s="4" t="s">
        <v>68</v>
      </c>
      <c r="B13" s="4">
        <v>1.0576613133333335</v>
      </c>
      <c r="C13" s="4">
        <v>24</v>
      </c>
      <c r="D13" s="4">
        <v>4.4069221388888892E-2</v>
      </c>
      <c r="E13" s="4"/>
      <c r="F13" s="4"/>
      <c r="G13" s="4"/>
    </row>
    <row r="14" spans="1:7" x14ac:dyDescent="0.2">
      <c r="A14" s="4"/>
      <c r="B14" s="4"/>
      <c r="C14" s="4"/>
      <c r="D14" s="4"/>
      <c r="E14" s="4"/>
      <c r="F14" s="4"/>
      <c r="G14" s="4"/>
    </row>
    <row r="15" spans="1:7" ht="17" thickBot="1" x14ac:dyDescent="0.25">
      <c r="A15" s="5" t="s">
        <v>69</v>
      </c>
      <c r="B15" s="5">
        <v>1.1453702400000001</v>
      </c>
      <c r="C15" s="5">
        <v>26</v>
      </c>
      <c r="D15" s="5"/>
      <c r="E15" s="5"/>
      <c r="F15" s="5"/>
      <c r="G1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9CB0-0DAE-1647-8556-B544053B584B}">
  <dimension ref="A1:C14"/>
  <sheetViews>
    <sheetView workbookViewId="0">
      <selection activeCell="E15" sqref="E15"/>
    </sheetView>
  </sheetViews>
  <sheetFormatPr baseColWidth="10" defaultRowHeight="16" x14ac:dyDescent="0.2"/>
  <cols>
    <col min="1" max="1" width="38.33203125" bestFit="1" customWidth="1"/>
  </cols>
  <sheetData>
    <row r="1" spans="1:3" x14ac:dyDescent="0.2">
      <c r="A1" t="s">
        <v>70</v>
      </c>
    </row>
    <row r="2" spans="1:3" ht="17" thickBot="1" x14ac:dyDescent="0.25"/>
    <row r="3" spans="1:3" x14ac:dyDescent="0.2">
      <c r="A3" s="6"/>
      <c r="B3" s="6" t="s">
        <v>71</v>
      </c>
      <c r="C3" s="6" t="s">
        <v>72</v>
      </c>
    </row>
    <row r="4" spans="1:3" x14ac:dyDescent="0.2">
      <c r="A4" s="4" t="s">
        <v>73</v>
      </c>
      <c r="B4" s="4">
        <v>0.70559999999999989</v>
      </c>
      <c r="C4" s="4">
        <v>0.60026666666666662</v>
      </c>
    </row>
    <row r="5" spans="1:3" x14ac:dyDescent="0.2">
      <c r="A5" s="4" t="s">
        <v>55</v>
      </c>
      <c r="B5" s="4">
        <v>4.6172920000000062E-2</v>
      </c>
      <c r="C5" s="4">
        <v>8.7912426666666738E-2</v>
      </c>
    </row>
    <row r="6" spans="1:3" x14ac:dyDescent="0.2">
      <c r="A6" s="4" t="s">
        <v>74</v>
      </c>
      <c r="B6" s="4">
        <v>7</v>
      </c>
      <c r="C6" s="4">
        <v>6</v>
      </c>
    </row>
    <row r="7" spans="1:3" x14ac:dyDescent="0.2">
      <c r="A7" s="4" t="s">
        <v>75</v>
      </c>
      <c r="B7" s="4">
        <v>6.5145423030303101E-2</v>
      </c>
      <c r="C7" s="4"/>
    </row>
    <row r="8" spans="1:3" x14ac:dyDescent="0.2">
      <c r="A8" s="4" t="s">
        <v>76</v>
      </c>
      <c r="B8" s="4">
        <v>0</v>
      </c>
      <c r="C8" s="4"/>
    </row>
    <row r="9" spans="1:3" x14ac:dyDescent="0.2">
      <c r="A9" s="4" t="s">
        <v>62</v>
      </c>
      <c r="B9" s="4">
        <v>11</v>
      </c>
      <c r="C9" s="4"/>
    </row>
    <row r="10" spans="1:3" x14ac:dyDescent="0.2">
      <c r="A10" s="4" t="s">
        <v>77</v>
      </c>
      <c r="B10" s="4">
        <v>0.74178294295914837</v>
      </c>
      <c r="C10" s="4"/>
    </row>
    <row r="11" spans="1:3" x14ac:dyDescent="0.2">
      <c r="A11" s="4" t="s">
        <v>78</v>
      </c>
      <c r="B11" s="4">
        <v>0.23687979434670714</v>
      </c>
      <c r="C11" s="4"/>
    </row>
    <row r="12" spans="1:3" x14ac:dyDescent="0.2">
      <c r="A12" s="4" t="s">
        <v>79</v>
      </c>
      <c r="B12" s="4">
        <v>1.7958848187040437</v>
      </c>
      <c r="C12" s="4"/>
    </row>
    <row r="13" spans="1:3" x14ac:dyDescent="0.2">
      <c r="A13" s="4" t="s">
        <v>80</v>
      </c>
      <c r="B13" s="4">
        <v>0.47375958869341428</v>
      </c>
      <c r="C13" s="4"/>
    </row>
    <row r="14" spans="1:3" ht="17" thickBot="1" x14ac:dyDescent="0.25">
      <c r="A14" s="5" t="s">
        <v>81</v>
      </c>
      <c r="B14" s="5">
        <v>2.2009851600916384</v>
      </c>
      <c r="C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CFC8-53C3-F741-91E5-620C5C9C6253}">
  <dimension ref="A1:G17"/>
  <sheetViews>
    <sheetView workbookViewId="0">
      <selection activeCell="I13" sqref="I13"/>
    </sheetView>
  </sheetViews>
  <sheetFormatPr baseColWidth="10" defaultRowHeight="16" x14ac:dyDescent="0.2"/>
  <cols>
    <col min="1" max="1" width="17.5" bestFit="1" customWidth="1"/>
  </cols>
  <sheetData>
    <row r="1" spans="1:7" x14ac:dyDescent="0.2">
      <c r="A1" t="s">
        <v>49</v>
      </c>
    </row>
    <row r="3" spans="1:7" ht="17" thickBot="1" x14ac:dyDescent="0.25">
      <c r="A3" t="s">
        <v>50</v>
      </c>
    </row>
    <row r="4" spans="1:7" x14ac:dyDescent="0.2">
      <c r="A4" s="6" t="s">
        <v>51</v>
      </c>
      <c r="B4" s="6" t="s">
        <v>52</v>
      </c>
      <c r="C4" s="6" t="s">
        <v>53</v>
      </c>
      <c r="D4" s="6" t="s">
        <v>54</v>
      </c>
      <c r="E4" s="6" t="s">
        <v>55</v>
      </c>
    </row>
    <row r="5" spans="1:7" x14ac:dyDescent="0.2">
      <c r="A5" s="4" t="s">
        <v>56</v>
      </c>
      <c r="B5" s="4">
        <v>8</v>
      </c>
      <c r="C5" s="4">
        <v>5.4282000000000004</v>
      </c>
      <c r="D5" s="4">
        <v>0.67852500000000004</v>
      </c>
      <c r="E5" s="4">
        <v>3.9177233571428501E-2</v>
      </c>
    </row>
    <row r="6" spans="1:7" x14ac:dyDescent="0.2">
      <c r="A6" s="4" t="s">
        <v>57</v>
      </c>
      <c r="B6" s="4">
        <v>6</v>
      </c>
      <c r="C6" s="4">
        <v>4.8266</v>
      </c>
      <c r="D6" s="4">
        <v>0.80443333333333333</v>
      </c>
      <c r="E6" s="4">
        <v>2.2765526666666692E-2</v>
      </c>
    </row>
    <row r="7" spans="1:7" x14ac:dyDescent="0.2">
      <c r="A7" s="4" t="s">
        <v>58</v>
      </c>
      <c r="B7" s="4">
        <v>25</v>
      </c>
      <c r="C7" s="4">
        <v>17.197799999999994</v>
      </c>
      <c r="D7" s="4">
        <v>0.68791199999999975</v>
      </c>
      <c r="E7" s="4">
        <v>3.1203913600000337E-2</v>
      </c>
    </row>
    <row r="8" spans="1:7" x14ac:dyDescent="0.2">
      <c r="A8" s="4" t="s">
        <v>132</v>
      </c>
      <c r="B8" s="4">
        <v>2</v>
      </c>
      <c r="C8" s="4">
        <v>1.7000000000000002</v>
      </c>
      <c r="D8" s="4">
        <v>0.85000000000000009</v>
      </c>
      <c r="E8" s="4">
        <v>4.9999999999999975E-3</v>
      </c>
    </row>
    <row r="9" spans="1:7" ht="17" thickBot="1" x14ac:dyDescent="0.25">
      <c r="A9" s="5" t="s">
        <v>133</v>
      </c>
      <c r="B9" s="5">
        <v>7</v>
      </c>
      <c r="C9" s="5">
        <v>5.2010000000000005</v>
      </c>
      <c r="D9" s="5">
        <v>0.7430000000000001</v>
      </c>
      <c r="E9" s="5">
        <v>1.2098666666666555E-2</v>
      </c>
    </row>
    <row r="12" spans="1:7" ht="17" thickBot="1" x14ac:dyDescent="0.25">
      <c r="A12" t="s">
        <v>59</v>
      </c>
    </row>
    <row r="13" spans="1:7" x14ac:dyDescent="0.2">
      <c r="A13" s="6" t="s">
        <v>60</v>
      </c>
      <c r="B13" s="6" t="s">
        <v>61</v>
      </c>
      <c r="C13" s="6" t="s">
        <v>62</v>
      </c>
      <c r="D13" s="6" t="s">
        <v>63</v>
      </c>
      <c r="E13" s="6" t="s">
        <v>64</v>
      </c>
      <c r="F13" s="6" t="s">
        <v>65</v>
      </c>
      <c r="G13" s="6" t="s">
        <v>66</v>
      </c>
    </row>
    <row r="14" spans="1:7" x14ac:dyDescent="0.2">
      <c r="A14" s="4" t="s">
        <v>67</v>
      </c>
      <c r="B14" s="4">
        <v>0.11889180526666743</v>
      </c>
      <c r="C14" s="4">
        <v>4</v>
      </c>
      <c r="D14" s="4">
        <v>2.9722951316666857E-2</v>
      </c>
      <c r="E14" s="4">
        <v>1.0523094911357915</v>
      </c>
      <c r="F14" s="4">
        <v>0.39167263099296812</v>
      </c>
      <c r="G14" s="4">
        <v>2.5888361455239295</v>
      </c>
    </row>
    <row r="15" spans="1:7" x14ac:dyDescent="0.2">
      <c r="A15" s="4" t="s">
        <v>68</v>
      </c>
      <c r="B15" s="4">
        <v>1.2145541947333331</v>
      </c>
      <c r="C15" s="4">
        <v>43</v>
      </c>
      <c r="D15" s="4">
        <v>2.8245446389147281E-2</v>
      </c>
      <c r="E15" s="4"/>
      <c r="F15" s="4"/>
      <c r="G15" s="4"/>
    </row>
    <row r="16" spans="1:7" x14ac:dyDescent="0.2">
      <c r="A16" s="4"/>
      <c r="B16" s="4"/>
      <c r="C16" s="4"/>
      <c r="D16" s="4"/>
      <c r="E16" s="4"/>
      <c r="F16" s="4"/>
      <c r="G16" s="4"/>
    </row>
    <row r="17" spans="1:7" ht="17" thickBot="1" x14ac:dyDescent="0.25">
      <c r="A17" s="5" t="s">
        <v>69</v>
      </c>
      <c r="B17" s="5">
        <v>1.3334460000000006</v>
      </c>
      <c r="C17" s="5">
        <v>47</v>
      </c>
      <c r="D17" s="5"/>
      <c r="E17" s="5"/>
      <c r="F17" s="5"/>
      <c r="G1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4784-F87E-E748-837B-0835DEEC5960}">
  <dimension ref="A1:S51"/>
  <sheetViews>
    <sheetView tabSelected="1" topLeftCell="A38" zoomScale="63" zoomScaleNormal="97" workbookViewId="0">
      <selection activeCell="A51" sqref="A51"/>
    </sheetView>
  </sheetViews>
  <sheetFormatPr baseColWidth="10" defaultRowHeight="16" x14ac:dyDescent="0.2"/>
  <cols>
    <col min="1" max="1" width="18.1640625" bestFit="1" customWidth="1"/>
    <col min="2" max="2" width="13.5" bestFit="1" customWidth="1"/>
    <col min="3" max="3" width="16.33203125" bestFit="1" customWidth="1"/>
    <col min="4" max="4" width="35.83203125" style="2" customWidth="1"/>
    <col min="5" max="5" width="10.83203125" customWidth="1"/>
  </cols>
  <sheetData>
    <row r="1" spans="1:19" ht="17" x14ac:dyDescent="0.2">
      <c r="A1" t="s">
        <v>1</v>
      </c>
      <c r="B1" t="s">
        <v>7</v>
      </c>
      <c r="C1" t="s">
        <v>5</v>
      </c>
      <c r="D1" s="2" t="s">
        <v>2</v>
      </c>
    </row>
    <row r="2" spans="1:19" ht="85" x14ac:dyDescent="0.2">
      <c r="A2" t="s">
        <v>110</v>
      </c>
      <c r="B2" s="3">
        <v>0.88</v>
      </c>
      <c r="C2" t="s">
        <v>4</v>
      </c>
      <c r="D2" s="2" t="s">
        <v>109</v>
      </c>
      <c r="E2" t="s">
        <v>111</v>
      </c>
      <c r="O2" t="s">
        <v>15</v>
      </c>
      <c r="P2" t="s">
        <v>4</v>
      </c>
      <c r="Q2" t="s">
        <v>34</v>
      </c>
      <c r="R2" t="s">
        <v>131</v>
      </c>
      <c r="S2" t="s">
        <v>130</v>
      </c>
    </row>
    <row r="3" spans="1:19" ht="51" x14ac:dyDescent="0.2">
      <c r="A3" t="s">
        <v>110</v>
      </c>
      <c r="B3" s="3">
        <v>0.44</v>
      </c>
      <c r="C3" t="s">
        <v>34</v>
      </c>
      <c r="D3" s="2" t="s">
        <v>27</v>
      </c>
      <c r="E3" t="s">
        <v>111</v>
      </c>
      <c r="O3" s="3">
        <v>0.37</v>
      </c>
      <c r="P3" s="3">
        <v>0.56999999999999995</v>
      </c>
      <c r="Q3" s="3">
        <v>0.46750000000000003</v>
      </c>
      <c r="R3" s="3">
        <v>0.9</v>
      </c>
      <c r="S3" s="1">
        <v>0.64900000000000002</v>
      </c>
    </row>
    <row r="4" spans="1:19" ht="17" x14ac:dyDescent="0.2">
      <c r="A4" t="s">
        <v>110</v>
      </c>
      <c r="B4" s="3">
        <v>0.70200000000000007</v>
      </c>
      <c r="C4" t="s">
        <v>34</v>
      </c>
      <c r="D4" s="2" t="s">
        <v>117</v>
      </c>
      <c r="E4" t="s">
        <v>120</v>
      </c>
      <c r="O4" s="1">
        <v>0.54500000000000004</v>
      </c>
      <c r="P4" s="3">
        <v>0.66659999999999997</v>
      </c>
      <c r="Q4" s="3">
        <v>0.58329999999999993</v>
      </c>
      <c r="R4" s="3">
        <v>0.8</v>
      </c>
      <c r="S4" s="1">
        <v>0.875</v>
      </c>
    </row>
    <row r="5" spans="1:19" ht="51" x14ac:dyDescent="0.2">
      <c r="A5" t="s">
        <v>110</v>
      </c>
      <c r="B5" s="3">
        <v>0.9</v>
      </c>
      <c r="C5" t="s">
        <v>118</v>
      </c>
      <c r="D5" s="2" t="s">
        <v>119</v>
      </c>
      <c r="E5" t="s">
        <v>120</v>
      </c>
      <c r="O5" s="3">
        <v>0.56999999999999995</v>
      </c>
      <c r="P5" s="1">
        <v>0.875</v>
      </c>
      <c r="Q5" s="3">
        <v>0.58530000000000004</v>
      </c>
      <c r="S5" s="3">
        <v>0.56000000000000005</v>
      </c>
    </row>
    <row r="6" spans="1:19" ht="34" x14ac:dyDescent="0.2">
      <c r="A6" t="s">
        <v>127</v>
      </c>
      <c r="B6" s="1">
        <v>0.79500000000000004</v>
      </c>
      <c r="C6" t="s">
        <v>86</v>
      </c>
      <c r="D6" s="2" t="s">
        <v>125</v>
      </c>
      <c r="E6" t="s">
        <v>129</v>
      </c>
      <c r="O6" s="1">
        <v>0.61519999999999997</v>
      </c>
      <c r="P6" s="1">
        <v>0.875</v>
      </c>
      <c r="Q6" s="3">
        <v>0.64469999999999994</v>
      </c>
      <c r="S6" s="3">
        <v>0.76</v>
      </c>
    </row>
    <row r="7" spans="1:19" ht="51" x14ac:dyDescent="0.2">
      <c r="A7" t="s">
        <v>128</v>
      </c>
      <c r="B7" s="3">
        <v>0.59</v>
      </c>
      <c r="C7" t="s">
        <v>34</v>
      </c>
      <c r="D7" s="2" t="s">
        <v>126</v>
      </c>
      <c r="E7" t="s">
        <v>129</v>
      </c>
      <c r="O7" s="3">
        <v>0.64</v>
      </c>
      <c r="P7" s="1">
        <v>0.96</v>
      </c>
      <c r="Q7" s="3">
        <v>0.65769999999999995</v>
      </c>
      <c r="S7" s="3">
        <v>0.84</v>
      </c>
    </row>
    <row r="8" spans="1:19" ht="68" x14ac:dyDescent="0.2">
      <c r="A8" t="s">
        <v>115</v>
      </c>
      <c r="B8" s="3">
        <v>0.7</v>
      </c>
      <c r="C8" t="s">
        <v>34</v>
      </c>
      <c r="D8" s="2" t="s">
        <v>112</v>
      </c>
      <c r="E8" t="s">
        <v>116</v>
      </c>
      <c r="O8" s="3">
        <v>0.875</v>
      </c>
      <c r="P8" s="3">
        <v>0.88</v>
      </c>
      <c r="Q8" s="3">
        <v>0.73819999999999997</v>
      </c>
      <c r="S8" s="1">
        <v>0.72199999999999998</v>
      </c>
    </row>
    <row r="9" spans="1:19" ht="17" x14ac:dyDescent="0.2">
      <c r="A9" t="s">
        <v>115</v>
      </c>
      <c r="B9" s="1">
        <v>0.72199999999999998</v>
      </c>
      <c r="C9" t="s">
        <v>86</v>
      </c>
      <c r="D9" s="2" t="s">
        <v>113</v>
      </c>
      <c r="E9" t="s">
        <v>116</v>
      </c>
      <c r="O9" s="3">
        <v>0.88</v>
      </c>
      <c r="Q9" s="3">
        <v>0.78939999999999999</v>
      </c>
      <c r="S9" s="1">
        <v>0.79500000000000004</v>
      </c>
    </row>
    <row r="10" spans="1:19" ht="17" x14ac:dyDescent="0.2">
      <c r="A10" t="s">
        <v>115</v>
      </c>
      <c r="B10" s="1">
        <v>0.73299999999999998</v>
      </c>
      <c r="C10" t="s">
        <v>34</v>
      </c>
      <c r="D10" s="2" t="s">
        <v>114</v>
      </c>
      <c r="E10" t="s">
        <v>116</v>
      </c>
      <c r="O10" s="3">
        <v>0.93299999999999994</v>
      </c>
      <c r="Q10" s="3">
        <v>0.87090000000000001</v>
      </c>
    </row>
    <row r="11" spans="1:19" ht="68" x14ac:dyDescent="0.2">
      <c r="A11" t="s">
        <v>39</v>
      </c>
      <c r="B11" s="3">
        <v>0.91249999999999998</v>
      </c>
      <c r="C11" t="s">
        <v>34</v>
      </c>
      <c r="D11" s="2" t="s">
        <v>34</v>
      </c>
      <c r="Q11" s="3">
        <v>0.88370000000000004</v>
      </c>
    </row>
    <row r="12" spans="1:19" ht="136" x14ac:dyDescent="0.2">
      <c r="A12" t="s">
        <v>41</v>
      </c>
      <c r="B12" s="3">
        <v>0.58329999999999993</v>
      </c>
      <c r="C12" t="s">
        <v>34</v>
      </c>
      <c r="D12" s="2" t="s">
        <v>34</v>
      </c>
      <c r="Q12" s="3">
        <v>0.91249999999999998</v>
      </c>
    </row>
    <row r="13" spans="1:19" ht="17" x14ac:dyDescent="0.2">
      <c r="A13" s="8" t="s">
        <v>23</v>
      </c>
      <c r="B13" s="9">
        <v>0.54400000000000004</v>
      </c>
      <c r="C13" s="8" t="s">
        <v>24</v>
      </c>
      <c r="D13" s="10" t="s">
        <v>25</v>
      </c>
      <c r="Q13" s="1">
        <v>0.92900000000000005</v>
      </c>
    </row>
    <row r="14" spans="1:19" ht="17" x14ac:dyDescent="0.2">
      <c r="A14" t="s">
        <v>97</v>
      </c>
      <c r="B14" s="3">
        <v>0.62</v>
      </c>
      <c r="C14" t="s">
        <v>34</v>
      </c>
      <c r="D14" s="2" t="s">
        <v>98</v>
      </c>
      <c r="E14" t="s">
        <v>96</v>
      </c>
      <c r="Q14" s="3">
        <v>0.93859999999999999</v>
      </c>
    </row>
    <row r="15" spans="1:19" ht="17" x14ac:dyDescent="0.2">
      <c r="A15" t="s">
        <v>95</v>
      </c>
      <c r="B15" s="3">
        <v>0.56000000000000005</v>
      </c>
      <c r="C15" t="s">
        <v>86</v>
      </c>
      <c r="D15" s="2" t="s">
        <v>94</v>
      </c>
      <c r="E15" t="s">
        <v>96</v>
      </c>
      <c r="Q15" s="3">
        <v>0.94</v>
      </c>
    </row>
    <row r="16" spans="1:19" ht="17" x14ac:dyDescent="0.2">
      <c r="A16" t="s">
        <v>26</v>
      </c>
      <c r="B16" s="1">
        <v>0.92900000000000005</v>
      </c>
      <c r="C16" t="s">
        <v>34</v>
      </c>
      <c r="D16" s="2" t="s">
        <v>27</v>
      </c>
      <c r="Q16" s="3">
        <v>0.7</v>
      </c>
    </row>
    <row r="17" spans="1:17" ht="17" x14ac:dyDescent="0.2">
      <c r="A17" t="s">
        <v>0</v>
      </c>
      <c r="B17" s="1">
        <v>7.0999999999999994E-2</v>
      </c>
      <c r="C17" s="1" t="s">
        <v>4</v>
      </c>
      <c r="D17" s="2" t="s">
        <v>3</v>
      </c>
      <c r="Q17" s="1">
        <v>0.46200000000000002</v>
      </c>
    </row>
    <row r="18" spans="1:17" ht="17" x14ac:dyDescent="0.2">
      <c r="A18" t="s">
        <v>6</v>
      </c>
      <c r="B18" s="3">
        <v>0.56999999999999995</v>
      </c>
      <c r="C18" t="s">
        <v>4</v>
      </c>
      <c r="D18" s="2" t="s">
        <v>8</v>
      </c>
      <c r="Q18" s="3">
        <v>0.5</v>
      </c>
    </row>
    <row r="19" spans="1:17" ht="68" x14ac:dyDescent="0.2">
      <c r="A19" t="s">
        <v>103</v>
      </c>
      <c r="B19" s="3">
        <v>0.93299999999999994</v>
      </c>
      <c r="C19" t="s">
        <v>43</v>
      </c>
      <c r="D19" s="2" t="s">
        <v>102</v>
      </c>
      <c r="E19" t="s">
        <v>104</v>
      </c>
      <c r="Q19" s="3">
        <v>0.62</v>
      </c>
    </row>
    <row r="20" spans="1:17" ht="85" x14ac:dyDescent="0.2">
      <c r="A20" t="s">
        <v>103</v>
      </c>
      <c r="B20" s="3">
        <v>0.94</v>
      </c>
      <c r="C20" t="s">
        <v>34</v>
      </c>
      <c r="D20" s="2" t="s">
        <v>102</v>
      </c>
      <c r="E20" t="s">
        <v>104</v>
      </c>
      <c r="Q20" s="3">
        <v>0.94</v>
      </c>
    </row>
    <row r="21" spans="1:17" ht="51" x14ac:dyDescent="0.2">
      <c r="A21" t="s">
        <v>44</v>
      </c>
      <c r="B21" s="3">
        <v>0.65769999999999995</v>
      </c>
      <c r="C21" t="s">
        <v>34</v>
      </c>
      <c r="D21" s="2" t="s">
        <v>34</v>
      </c>
      <c r="Q21" s="3">
        <v>0.42</v>
      </c>
    </row>
    <row r="22" spans="1:17" ht="17" x14ac:dyDescent="0.2">
      <c r="A22" t="s">
        <v>105</v>
      </c>
      <c r="B22" s="3">
        <v>0.84</v>
      </c>
      <c r="C22" t="s">
        <v>86</v>
      </c>
      <c r="D22" s="2" t="s">
        <v>106</v>
      </c>
      <c r="E22" t="s">
        <v>108</v>
      </c>
      <c r="Q22" s="3">
        <v>0.44</v>
      </c>
    </row>
    <row r="23" spans="1:17" ht="17" x14ac:dyDescent="0.2">
      <c r="A23" t="s">
        <v>105</v>
      </c>
      <c r="B23" s="3">
        <v>0.42</v>
      </c>
      <c r="C23" t="s">
        <v>34</v>
      </c>
      <c r="D23" s="2" t="s">
        <v>107</v>
      </c>
      <c r="E23" t="s">
        <v>108</v>
      </c>
      <c r="Q23" s="3">
        <v>0.7</v>
      </c>
    </row>
    <row r="24" spans="1:17" ht="17" x14ac:dyDescent="0.2">
      <c r="A24" t="s">
        <v>36</v>
      </c>
      <c r="B24" s="3">
        <v>0.87090000000000001</v>
      </c>
      <c r="C24" t="s">
        <v>34</v>
      </c>
      <c r="D24" s="2" t="s">
        <v>34</v>
      </c>
      <c r="Q24" s="1">
        <v>0.73299999999999998</v>
      </c>
    </row>
    <row r="25" spans="1:17" ht="17" x14ac:dyDescent="0.2">
      <c r="A25" t="s">
        <v>28</v>
      </c>
      <c r="B25" s="1">
        <v>0.64900000000000002</v>
      </c>
      <c r="C25" t="s">
        <v>86</v>
      </c>
      <c r="D25" s="2" t="s">
        <v>87</v>
      </c>
      <c r="E25" s="7" t="s">
        <v>85</v>
      </c>
      <c r="Q25" s="3">
        <v>0.70200000000000007</v>
      </c>
    </row>
    <row r="26" spans="1:17" ht="17" x14ac:dyDescent="0.2">
      <c r="A26" t="s">
        <v>28</v>
      </c>
      <c r="B26" s="1">
        <v>0.46200000000000002</v>
      </c>
      <c r="C26" t="s">
        <v>34</v>
      </c>
      <c r="D26" s="2" t="s">
        <v>88</v>
      </c>
      <c r="E26" s="7" t="s">
        <v>85</v>
      </c>
      <c r="Q26" s="3">
        <v>0.45</v>
      </c>
    </row>
    <row r="27" spans="1:17" ht="68" x14ac:dyDescent="0.2">
      <c r="A27" t="s">
        <v>99</v>
      </c>
      <c r="B27" s="3">
        <v>0.76</v>
      </c>
      <c r="C27" t="s">
        <v>86</v>
      </c>
      <c r="D27" s="2" t="s">
        <v>100</v>
      </c>
      <c r="E27" t="s">
        <v>101</v>
      </c>
      <c r="Q27" s="3">
        <v>0.59</v>
      </c>
    </row>
    <row r="28" spans="1:17" ht="51" x14ac:dyDescent="0.2">
      <c r="A28" t="s">
        <v>82</v>
      </c>
      <c r="B28" s="1">
        <v>0.96</v>
      </c>
      <c r="C28" t="s">
        <v>4</v>
      </c>
      <c r="D28" s="2" t="s">
        <v>89</v>
      </c>
      <c r="E28" t="s">
        <v>84</v>
      </c>
    </row>
    <row r="29" spans="1:17" ht="17" x14ac:dyDescent="0.2">
      <c r="A29" t="s">
        <v>83</v>
      </c>
      <c r="B29" s="3">
        <v>0.7</v>
      </c>
      <c r="C29" t="s">
        <v>34</v>
      </c>
      <c r="D29" s="2" t="s">
        <v>27</v>
      </c>
      <c r="E29" t="s">
        <v>84</v>
      </c>
    </row>
    <row r="30" spans="1:17" ht="119" x14ac:dyDescent="0.2">
      <c r="A30" t="s">
        <v>90</v>
      </c>
      <c r="B30" s="1">
        <v>0.875</v>
      </c>
      <c r="C30" t="s">
        <v>86</v>
      </c>
      <c r="D30" s="2" t="s">
        <v>91</v>
      </c>
      <c r="E30" t="s">
        <v>92</v>
      </c>
    </row>
    <row r="31" spans="1:17" ht="119" x14ac:dyDescent="0.2">
      <c r="A31" t="s">
        <v>90</v>
      </c>
      <c r="B31" s="3">
        <v>0.5</v>
      </c>
      <c r="C31" t="s">
        <v>34</v>
      </c>
      <c r="D31" s="2" t="s">
        <v>93</v>
      </c>
      <c r="E31" t="s">
        <v>92</v>
      </c>
    </row>
    <row r="32" spans="1:17" ht="51" x14ac:dyDescent="0.2">
      <c r="A32" t="s">
        <v>47</v>
      </c>
      <c r="B32" s="3">
        <v>0.66659999999999997</v>
      </c>
      <c r="C32" t="s">
        <v>4</v>
      </c>
      <c r="D32" s="2" t="s">
        <v>48</v>
      </c>
    </row>
    <row r="33" spans="1:5" ht="17" x14ac:dyDescent="0.2">
      <c r="A33" t="s">
        <v>9</v>
      </c>
      <c r="B33" s="1">
        <v>0.875</v>
      </c>
      <c r="C33" t="s">
        <v>4</v>
      </c>
      <c r="D33" s="2" t="s">
        <v>10</v>
      </c>
    </row>
    <row r="34" spans="1:5" ht="51" x14ac:dyDescent="0.2">
      <c r="A34" t="s">
        <v>29</v>
      </c>
      <c r="B34" s="3">
        <v>0.88</v>
      </c>
      <c r="C34" t="s">
        <v>15</v>
      </c>
      <c r="D34" s="2" t="s">
        <v>30</v>
      </c>
    </row>
    <row r="35" spans="1:5" ht="17" x14ac:dyDescent="0.2">
      <c r="A35" t="s">
        <v>35</v>
      </c>
      <c r="B35" s="3">
        <v>0.73819999999999997</v>
      </c>
      <c r="C35" t="s">
        <v>34</v>
      </c>
      <c r="D35" s="2" t="s">
        <v>34</v>
      </c>
    </row>
    <row r="36" spans="1:5" ht="68" x14ac:dyDescent="0.2">
      <c r="A36" t="s">
        <v>11</v>
      </c>
      <c r="B36" s="1">
        <v>0.875</v>
      </c>
      <c r="C36" t="s">
        <v>4</v>
      </c>
      <c r="D36" s="2" t="s">
        <v>12</v>
      </c>
    </row>
    <row r="37" spans="1:5" ht="51" x14ac:dyDescent="0.2">
      <c r="A37" t="s">
        <v>42</v>
      </c>
      <c r="B37" s="3">
        <v>0.93859999999999999</v>
      </c>
      <c r="C37" t="s">
        <v>34</v>
      </c>
      <c r="D37" s="2" t="s">
        <v>34</v>
      </c>
    </row>
    <row r="38" spans="1:5" ht="51" x14ac:dyDescent="0.2">
      <c r="A38" t="s">
        <v>18</v>
      </c>
      <c r="B38" s="3">
        <v>0.64</v>
      </c>
      <c r="C38" t="s">
        <v>15</v>
      </c>
      <c r="D38" s="2" t="s">
        <v>19</v>
      </c>
    </row>
    <row r="39" spans="1:5" ht="102" x14ac:dyDescent="0.2">
      <c r="A39" t="s">
        <v>18</v>
      </c>
      <c r="B39" s="3">
        <v>0.875</v>
      </c>
      <c r="C39" t="s">
        <v>15</v>
      </c>
      <c r="D39" s="2" t="s">
        <v>22</v>
      </c>
    </row>
    <row r="40" spans="1:5" ht="51" x14ac:dyDescent="0.2">
      <c r="A40" t="s">
        <v>20</v>
      </c>
      <c r="B40" s="3">
        <v>0.37</v>
      </c>
      <c r="C40" t="s">
        <v>15</v>
      </c>
      <c r="D40" s="2" t="s">
        <v>21</v>
      </c>
    </row>
    <row r="41" spans="1:5" ht="51" x14ac:dyDescent="0.2">
      <c r="A41" t="s">
        <v>33</v>
      </c>
      <c r="B41" s="3">
        <v>0.46750000000000003</v>
      </c>
      <c r="C41" t="s">
        <v>34</v>
      </c>
      <c r="D41" s="2" t="s">
        <v>34</v>
      </c>
    </row>
    <row r="42" spans="1:5" ht="17" x14ac:dyDescent="0.2">
      <c r="A42" t="s">
        <v>33</v>
      </c>
      <c r="B42" s="3">
        <v>0.58530000000000004</v>
      </c>
      <c r="C42" t="s">
        <v>34</v>
      </c>
      <c r="D42" s="2" t="s">
        <v>34</v>
      </c>
    </row>
    <row r="43" spans="1:5" ht="68" x14ac:dyDescent="0.2">
      <c r="A43" t="s">
        <v>13</v>
      </c>
      <c r="B43" s="3">
        <v>0.94</v>
      </c>
      <c r="C43" t="s">
        <v>34</v>
      </c>
      <c r="D43" s="2" t="s">
        <v>16</v>
      </c>
    </row>
    <row r="44" spans="1:5" ht="68" x14ac:dyDescent="0.2">
      <c r="A44" t="s">
        <v>14</v>
      </c>
      <c r="B44" s="3">
        <v>0.56999999999999995</v>
      </c>
      <c r="C44" t="s">
        <v>15</v>
      </c>
      <c r="D44" s="2" t="s">
        <v>17</v>
      </c>
    </row>
    <row r="45" spans="1:5" ht="34" x14ac:dyDescent="0.2">
      <c r="A45" t="s">
        <v>37</v>
      </c>
      <c r="B45" s="3">
        <v>0.78939999999999999</v>
      </c>
      <c r="C45" t="s">
        <v>34</v>
      </c>
      <c r="D45" s="2" t="s">
        <v>34</v>
      </c>
    </row>
    <row r="46" spans="1:5" ht="34" x14ac:dyDescent="0.2">
      <c r="A46" t="s">
        <v>121</v>
      </c>
      <c r="B46" s="3">
        <v>0.8</v>
      </c>
      <c r="C46" t="s">
        <v>118</v>
      </c>
      <c r="D46" s="2" t="s">
        <v>123</v>
      </c>
      <c r="E46" t="s">
        <v>122</v>
      </c>
    </row>
    <row r="47" spans="1:5" ht="51" x14ac:dyDescent="0.2">
      <c r="A47" t="s">
        <v>121</v>
      </c>
      <c r="B47" s="3">
        <v>0.45</v>
      </c>
      <c r="C47" t="s">
        <v>34</v>
      </c>
      <c r="D47" s="2" t="s">
        <v>124</v>
      </c>
      <c r="E47" t="s">
        <v>122</v>
      </c>
    </row>
    <row r="48" spans="1:5" ht="68" x14ac:dyDescent="0.2">
      <c r="A48" t="s">
        <v>38</v>
      </c>
      <c r="B48" s="3">
        <v>0.88370000000000004</v>
      </c>
      <c r="C48" t="s">
        <v>34</v>
      </c>
      <c r="D48" s="2" t="s">
        <v>34</v>
      </c>
    </row>
    <row r="49" spans="1:4" ht="51" x14ac:dyDescent="0.2">
      <c r="A49" t="s">
        <v>31</v>
      </c>
      <c r="B49" s="1">
        <v>0.54500000000000004</v>
      </c>
      <c r="C49" t="s">
        <v>15</v>
      </c>
      <c r="D49" s="2" t="s">
        <v>32</v>
      </c>
    </row>
    <row r="50" spans="1:4" ht="51" x14ac:dyDescent="0.2">
      <c r="A50" t="s">
        <v>40</v>
      </c>
      <c r="B50" s="3">
        <v>0.64469999999999994</v>
      </c>
      <c r="C50" t="s">
        <v>34</v>
      </c>
      <c r="D50" s="2" t="s">
        <v>34</v>
      </c>
    </row>
    <row r="51" spans="1:4" ht="17" x14ac:dyDescent="0.2">
      <c r="A51" t="s">
        <v>45</v>
      </c>
      <c r="B51" s="1">
        <v>0.61519999999999997</v>
      </c>
      <c r="C51" t="s">
        <v>15</v>
      </c>
      <c r="D51" s="2" t="s">
        <v>46</v>
      </c>
    </row>
  </sheetData>
  <sortState xmlns:xlrd2="http://schemas.microsoft.com/office/spreadsheetml/2017/richdata2" ref="A2:E51">
    <sortCondition ref="A1:A51"/>
  </sortState>
  <hyperlinks>
    <hyperlink ref="E25" r:id="rId1" xr:uid="{A27DBBA8-57A2-A94C-A29B-FB3D9E2FE102}"/>
    <hyperlink ref="E26" r:id="rId2" xr:uid="{550E31E5-6C04-1443-A40D-B87C62C6BCF7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Glass, Emma Margaret (tfz5vy)</cp:lastModifiedBy>
  <dcterms:created xsi:type="dcterms:W3CDTF">2024-06-03T14:09:58Z</dcterms:created>
  <dcterms:modified xsi:type="dcterms:W3CDTF">2024-06-19T14:16:46Z</dcterms:modified>
</cp:coreProperties>
</file>